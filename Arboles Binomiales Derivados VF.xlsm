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\Downloads\"/>
    </mc:Choice>
  </mc:AlternateContent>
  <xr:revisionPtr revIDLastSave="0" documentId="13_ncr:1_{5CFE6B33-AE11-45F7-A1E6-D82AD1246DBC}" xr6:coauthVersionLast="47" xr6:coauthVersionMax="47" xr10:uidLastSave="{00000000-0000-0000-0000-000000000000}"/>
  <bookViews>
    <workbookView xWindow="20370" yWindow="-120" windowWidth="21840" windowHeight="13140" activeTab="1" xr2:uid="{00000000-000D-0000-FFFF-FFFF00000000}"/>
  </bookViews>
  <sheets>
    <sheet name="Portada" sheetId="7" r:id="rId1"/>
    <sheet name="Datos" sheetId="1" r:id="rId2"/>
    <sheet name="Subyacente" sheetId="3" r:id="rId3"/>
    <sheet name="Derivado" sheetId="4" r:id="rId4"/>
    <sheet name="Alpha" sheetId="5" r:id="rId5"/>
    <sheet name="Beta" sheetId="6" r:id="rId6"/>
    <sheet name="Auxiliar" sheetId="2" r:id="rId7"/>
  </sheets>
  <definedNames>
    <definedName name="_xlnm._FilterDatabase" localSheetId="6" hidden="1">Auxiliar!$A$15:$B$24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/>
  <c r="A3" i="5"/>
  <c r="A3" i="4"/>
  <c r="A22" i="2"/>
  <c r="I15" i="1"/>
  <c r="I7" i="1"/>
  <c r="G16" i="1"/>
  <c r="G15" i="1"/>
  <c r="G14" i="1" l="1"/>
  <c r="A21" i="2" l="1"/>
  <c r="J5" i="1" l="1"/>
</calcChain>
</file>

<file path=xl/sharedStrings.xml><?xml version="1.0" encoding="utf-8"?>
<sst xmlns="http://schemas.openxmlformats.org/spreadsheetml/2006/main" count="45" uniqueCount="43">
  <si>
    <t>u</t>
  </si>
  <si>
    <t>d</t>
  </si>
  <si>
    <t>Call Europeo</t>
  </si>
  <si>
    <t>Put Europeo</t>
  </si>
  <si>
    <t>Tasa</t>
  </si>
  <si>
    <t>Ingresa tus datos</t>
  </si>
  <si>
    <t>Strike</t>
  </si>
  <si>
    <t>Selecciona el Derivado</t>
  </si>
  <si>
    <t>ÁRBOL DEL SUBYACENTE</t>
  </si>
  <si>
    <t>ÁRBOL DEL DERIVADO</t>
  </si>
  <si>
    <t>ÁRBOL DE ALPHA</t>
  </si>
  <si>
    <t>ÁRBOL DE BETA</t>
  </si>
  <si>
    <t>Call Digital</t>
  </si>
  <si>
    <t>Put Digital</t>
  </si>
  <si>
    <t>Call Americano</t>
  </si>
  <si>
    <t>Put Americano</t>
  </si>
  <si>
    <t>M</t>
  </si>
  <si>
    <t>Vencimiento</t>
  </si>
  <si>
    <t>Convertidor de tasas</t>
  </si>
  <si>
    <t>Ingresa la tasa</t>
  </si>
  <si>
    <t>Capitalización al año</t>
  </si>
  <si>
    <t>Tasa efectiva continua anual</t>
  </si>
  <si>
    <t>EN AÑOS</t>
  </si>
  <si>
    <t>Sin dividendos</t>
  </si>
  <si>
    <t>Selecciona Dividendos</t>
  </si>
  <si>
    <t>Continuos</t>
  </si>
  <si>
    <t>Tasa Extranjera</t>
  </si>
  <si>
    <t>Discretos</t>
  </si>
  <si>
    <t>Volatilidad</t>
  </si>
  <si>
    <t>Periodos</t>
  </si>
  <si>
    <t>VP Dividendos Discretos</t>
  </si>
  <si>
    <t>Salidas</t>
  </si>
  <si>
    <t>q</t>
  </si>
  <si>
    <t>B</t>
  </si>
  <si>
    <t>Precio Forward</t>
  </si>
  <si>
    <r>
      <t>B</t>
    </r>
    <r>
      <rPr>
        <vertAlign val="superscript"/>
        <sz val="11"/>
        <color theme="0"/>
        <rFont val="Calibri"/>
        <family val="2"/>
        <scheme val="minor"/>
      </rPr>
      <t>-1</t>
    </r>
  </si>
  <si>
    <r>
      <t>B</t>
    </r>
    <r>
      <rPr>
        <vertAlign val="subscript"/>
        <sz val="11"/>
        <color theme="0"/>
        <rFont val="Calibri"/>
        <family val="2"/>
        <scheme val="minor"/>
      </rPr>
      <t>E</t>
    </r>
  </si>
  <si>
    <r>
      <t>B</t>
    </r>
    <r>
      <rPr>
        <vertAlign val="subscript"/>
        <sz val="11"/>
        <color theme="0"/>
        <rFont val="Calibri"/>
        <family val="2"/>
        <scheme val="minor"/>
      </rPr>
      <t>E</t>
    </r>
    <r>
      <rPr>
        <vertAlign val="superscript"/>
        <sz val="11"/>
        <color theme="0"/>
        <rFont val="Calibri"/>
        <family val="2"/>
        <scheme val="minor"/>
      </rPr>
      <t>-1</t>
    </r>
  </si>
  <si>
    <t>Call Asiático</t>
  </si>
  <si>
    <t>S0</t>
  </si>
  <si>
    <t>CALCULA EL ARBOL</t>
  </si>
  <si>
    <t>Put Asiático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</si>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</sst>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4"/>
      <color theme="0"/>
      <name val="Century Gothic"/>
      <family val="2"/>
    </font>
    <font>
      <b/>
      <sz val="11"/>
      <color rgb="FFFF0000"/>
      <name val="Century Gothic"/>
      <family val="2"/>
    </font>
    <font>
      <b/>
      <sz val="14"/>
      <color rgb="FF000000"/>
      <name val="Century Gothic"/>
      <family val="2"/>
    </font>
    <font>
      <vertAlign val="superscript"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4" xfId="0" applyFont="1" applyBorder="1"/>
    <xf numFmtId="0" fontId="6" fillId="2" borderId="1" xfId="0" applyFont="1" applyFill="1" applyBorder="1" applyAlignment="1">
      <alignment horizontal="center"/>
    </xf>
    <xf numFmtId="0" fontId="4" fillId="3" borderId="1" xfId="0" applyFont="1" applyFill="1" applyBorder="1"/>
    <xf numFmtId="0" fontId="5" fillId="0" borderId="1" xfId="0" applyFont="1" applyBorder="1"/>
    <xf numFmtId="0" fontId="8" fillId="0" borderId="0" xfId="0" applyFont="1"/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2" fillId="0" borderId="0" xfId="0" applyFont="1" applyFill="1"/>
    <xf numFmtId="0" fontId="12" fillId="0" borderId="0" xfId="0" applyFont="1"/>
    <xf numFmtId="0" fontId="13" fillId="0" borderId="0" xfId="0" applyFont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10" max="1000" page="10" val="14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429558</xdr:colOff>
      <xdr:row>17</xdr:row>
      <xdr:rowOff>75424</xdr:rowOff>
    </xdr:from>
    <xdr:ext cx="2356222" cy="147014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15558" y="3313924"/>
          <a:ext cx="2356222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PROFESOR Y AYUDANTE </a:t>
          </a:r>
        </a:p>
        <a:p>
          <a:pPr algn="ctr"/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Jorge Humberto Del Castillo Spíndola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José</a:t>
          </a:r>
          <a:r>
            <a:rPr lang="es-MX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Roberto De Jesús González </a:t>
          </a:r>
          <a:endParaRPr lang="es-MX">
            <a:effectLst/>
          </a:endParaRPr>
        </a:p>
        <a:p>
          <a:pPr algn="ctr"/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ASIGNATURA</a:t>
          </a:r>
        </a:p>
        <a:p>
          <a:pPr algn="ctr"/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Productos Financieros Derivados</a:t>
          </a:r>
          <a:endParaRPr lang="es-MX">
            <a:effectLst/>
          </a:endParaRPr>
        </a:p>
        <a:p>
          <a:endParaRPr lang="es-MX" sz="1100"/>
        </a:p>
      </xdr:txBody>
    </xdr:sp>
    <xdr:clientData/>
  </xdr:oneCellAnchor>
  <xdr:oneCellAnchor>
    <xdr:from>
      <xdr:col>3</xdr:col>
      <xdr:colOff>250603</xdr:colOff>
      <xdr:row>9</xdr:row>
      <xdr:rowOff>94862</xdr:rowOff>
    </xdr:from>
    <xdr:ext cx="2713179" cy="147014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536603" y="1809362"/>
          <a:ext cx="2713179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INTEGRANTES</a:t>
          </a:r>
        </a:p>
        <a:p>
          <a:pPr algn="ctr"/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Cruz Barrios Luis Alberto 317212905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Fernández Neria Montserrat 317223125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Flores Molina Alfredo 420003980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López Espíndola Luis Enrique 317254262 </a:t>
          </a:r>
          <a:endParaRPr lang="es-MX">
            <a:effectLst/>
          </a:endParaRPr>
        </a:p>
        <a:p>
          <a:pPr algn="ctr"/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Maya Sánchez Andrea Fernanda 317233513</a:t>
          </a:r>
          <a:endParaRPr lang="es-MX">
            <a:effectLst/>
          </a:endParaRPr>
        </a:p>
        <a:p>
          <a:endParaRPr lang="es-MX" sz="1100"/>
        </a:p>
      </xdr:txBody>
    </xdr:sp>
    <xdr:clientData/>
  </xdr:oneCellAnchor>
  <xdr:twoCellAnchor editAs="oneCell">
    <xdr:from>
      <xdr:col>1</xdr:col>
      <xdr:colOff>600075</xdr:colOff>
      <xdr:row>1</xdr:row>
      <xdr:rowOff>57150</xdr:rowOff>
    </xdr:from>
    <xdr:to>
      <xdr:col>3</xdr:col>
      <xdr:colOff>95250</xdr:colOff>
      <xdr:row>7</xdr:row>
      <xdr:rowOff>79291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247650"/>
          <a:ext cx="1019175" cy="1165141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1</xdr:row>
      <xdr:rowOff>142875</xdr:rowOff>
    </xdr:from>
    <xdr:to>
      <xdr:col>8</xdr:col>
      <xdr:colOff>400049</xdr:colOff>
      <xdr:row>7</xdr:row>
      <xdr:rowOff>92058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0" y="333375"/>
          <a:ext cx="971549" cy="1092183"/>
        </a:xfrm>
        <a:prstGeom prst="rect">
          <a:avLst/>
        </a:prstGeom>
      </xdr:spPr>
    </xdr:pic>
    <xdr:clientData/>
  </xdr:twoCellAnchor>
  <xdr:oneCellAnchor>
    <xdr:from>
      <xdr:col>1</xdr:col>
      <xdr:colOff>676275</xdr:colOff>
      <xdr:row>2</xdr:row>
      <xdr:rowOff>161925</xdr:rowOff>
    </xdr:from>
    <xdr:ext cx="4088492" cy="436786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38275" y="542925"/>
          <a:ext cx="4088492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UNIVERSIDAD NACIONAL AUTÓNOMA DE MÉXICO </a:t>
          </a:r>
          <a:endParaRPr lang="es-MX">
            <a:effectLst/>
          </a:endParaRPr>
        </a:p>
        <a:p>
          <a:endParaRPr lang="es-MX" sz="1100"/>
        </a:p>
      </xdr:txBody>
    </xdr:sp>
    <xdr:clientData/>
  </xdr:oneCellAnchor>
  <xdr:oneCellAnchor>
    <xdr:from>
      <xdr:col>4</xdr:col>
      <xdr:colOff>57150</xdr:colOff>
      <xdr:row>4</xdr:row>
      <xdr:rowOff>9525</xdr:rowOff>
    </xdr:from>
    <xdr:ext cx="1565365" cy="436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105150" y="771525"/>
          <a:ext cx="1565365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FACULTAD DE CIENCIAS</a:t>
          </a:r>
          <a:endParaRPr lang="es-MX">
            <a:effectLst/>
          </a:endParaRPr>
        </a:p>
        <a:p>
          <a:endParaRPr lang="es-MX" sz="1100"/>
        </a:p>
      </xdr:txBody>
    </xdr:sp>
    <xdr:clientData/>
  </xdr:oneCellAnchor>
  <xdr:oneCellAnchor>
    <xdr:from>
      <xdr:col>3</xdr:col>
      <xdr:colOff>552450</xdr:colOff>
      <xdr:row>6</xdr:row>
      <xdr:rowOff>133350</xdr:rowOff>
    </xdr:from>
    <xdr:ext cx="2139304" cy="436786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38450" y="1276350"/>
          <a:ext cx="213930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CALCULADORA</a:t>
          </a:r>
          <a:r>
            <a:rPr lang="es-MX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ÁRBOL BINOMIAL</a:t>
          </a:r>
          <a:endParaRPr lang="es-MX">
            <a:effectLst/>
          </a:endParaRPr>
        </a:p>
        <a:p>
          <a:endParaRPr lang="es-MX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11</xdr:row>
          <xdr:rowOff>9525</xdr:rowOff>
        </xdr:from>
        <xdr:to>
          <xdr:col>8</xdr:col>
          <xdr:colOff>2019300</xdr:colOff>
          <xdr:row>13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Calcular Arboles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8</xdr:row>
          <xdr:rowOff>123825</xdr:rowOff>
        </xdr:from>
        <xdr:to>
          <xdr:col>3</xdr:col>
          <xdr:colOff>704850</xdr:colOff>
          <xdr:row>10</xdr:row>
          <xdr:rowOff>76200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7</xdr:row>
          <xdr:rowOff>66675</xdr:rowOff>
        </xdr:from>
        <xdr:to>
          <xdr:col>8</xdr:col>
          <xdr:colOff>2000250</xdr:colOff>
          <xdr:row>9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Trayectorias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"/>
  <sheetViews>
    <sheetView showGridLines="0" workbookViewId="0">
      <selection activeCell="C16" sqref="C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2060"/>
  </sheetPr>
  <dimension ref="A1:J29"/>
  <sheetViews>
    <sheetView showGridLines="0" tabSelected="1" topLeftCell="B11" zoomScaleNormal="100" workbookViewId="0">
      <selection activeCell="D20" sqref="D20"/>
    </sheetView>
  </sheetViews>
  <sheetFormatPr baseColWidth="10" defaultRowHeight="15" x14ac:dyDescent="0.25"/>
  <cols>
    <col min="1" max="1" width="6" bestFit="1" customWidth="1"/>
    <col min="3" max="3" width="25.7109375" bestFit="1" customWidth="1"/>
    <col min="5" max="5" width="16.85546875" bestFit="1" customWidth="1"/>
    <col min="6" max="6" width="26" customWidth="1"/>
    <col min="7" max="7" width="12.140625" bestFit="1" customWidth="1"/>
    <col min="9" max="9" width="32.140625" customWidth="1"/>
  </cols>
  <sheetData>
    <row r="1" spans="1:10" ht="16.5" thickBot="1" x14ac:dyDescent="0.3">
      <c r="B1" s="2"/>
      <c r="E1" s="2"/>
    </row>
    <row r="2" spans="1:10" ht="15.75" thickBot="1" x14ac:dyDescent="0.3">
      <c r="A2" s="1"/>
      <c r="C2" s="5" t="s">
        <v>24</v>
      </c>
      <c r="F2" s="5" t="s">
        <v>7</v>
      </c>
      <c r="I2" s="17" t="s">
        <v>18</v>
      </c>
      <c r="J2" s="18"/>
    </row>
    <row r="3" spans="1:10" ht="17.25" thickBot="1" x14ac:dyDescent="0.35">
      <c r="A3" s="1"/>
      <c r="C3" s="6" t="s">
        <v>25</v>
      </c>
      <c r="F3" s="6" t="s">
        <v>2</v>
      </c>
      <c r="I3" s="5" t="s">
        <v>19</v>
      </c>
      <c r="J3" s="4"/>
    </row>
    <row r="4" spans="1:10" ht="17.25" thickBot="1" x14ac:dyDescent="0.35">
      <c r="A4" s="1"/>
      <c r="I4" s="5" t="s">
        <v>20</v>
      </c>
      <c r="J4" s="4">
        <v>1</v>
      </c>
    </row>
    <row r="5" spans="1:10" ht="17.25" thickBot="1" x14ac:dyDescent="0.35">
      <c r="A5" s="1"/>
      <c r="I5" s="5" t="s">
        <v>21</v>
      </c>
      <c r="J5" s="4">
        <f>+J3*J4</f>
        <v>0</v>
      </c>
    </row>
    <row r="6" spans="1:10" x14ac:dyDescent="0.25">
      <c r="A6" s="1"/>
      <c r="C6" s="11"/>
      <c r="F6" s="15" t="s">
        <v>5</v>
      </c>
    </row>
    <row r="7" spans="1:10" ht="15.75" thickBot="1" x14ac:dyDescent="0.3">
      <c r="A7" s="1"/>
      <c r="F7" s="16"/>
      <c r="I7" s="11" t="str">
        <f>+IF(OR(F3 = "Call Asiático", F3="Put Asiático"),"CALCULA LAS TRAYECTORIAS","")</f>
        <v/>
      </c>
    </row>
    <row r="8" spans="1:10" ht="17.25" thickBot="1" x14ac:dyDescent="0.35">
      <c r="A8" s="1"/>
      <c r="E8" s="5" t="s">
        <v>28</v>
      </c>
      <c r="F8" s="4">
        <v>0.1</v>
      </c>
    </row>
    <row r="9" spans="1:10" ht="17.25" thickBot="1" x14ac:dyDescent="0.35">
      <c r="E9" s="5" t="s">
        <v>4</v>
      </c>
      <c r="F9" s="4">
        <v>0.1</v>
      </c>
    </row>
    <row r="10" spans="1:10" ht="17.25" thickBot="1" x14ac:dyDescent="0.35">
      <c r="E10" s="5" t="s">
        <v>29</v>
      </c>
      <c r="F10" s="4">
        <v>14</v>
      </c>
    </row>
    <row r="11" spans="1:10" ht="17.25" thickBot="1" x14ac:dyDescent="0.35">
      <c r="E11" s="5" t="s">
        <v>17</v>
      </c>
      <c r="F11" s="4">
        <v>1.5</v>
      </c>
      <c r="G11" s="8" t="s">
        <v>22</v>
      </c>
      <c r="I11" s="11" t="s">
        <v>40</v>
      </c>
    </row>
    <row r="12" spans="1:10" ht="17.25" thickBot="1" x14ac:dyDescent="0.35">
      <c r="E12" s="5" t="s">
        <v>39</v>
      </c>
      <c r="F12" s="4">
        <v>60</v>
      </c>
    </row>
    <row r="13" spans="1:10" ht="17.25" thickBot="1" x14ac:dyDescent="0.35">
      <c r="E13" s="5" t="s">
        <v>6</v>
      </c>
      <c r="F13" s="4">
        <v>64.6730491</v>
      </c>
    </row>
    <row r="14" spans="1:10" ht="17.25" thickBot="1" x14ac:dyDescent="0.35">
      <c r="E14" s="5" t="s">
        <v>26</v>
      </c>
      <c r="F14" s="4">
        <v>0.05</v>
      </c>
      <c r="G14" s="8" t="str">
        <f>+IF(C3 = "Continuos","","NO APLICA")</f>
        <v/>
      </c>
    </row>
    <row r="15" spans="1:10" ht="17.25" thickBot="1" x14ac:dyDescent="0.35">
      <c r="E15" s="5" t="s">
        <v>16</v>
      </c>
      <c r="F15" s="7"/>
      <c r="G15" s="8" t="str">
        <f>+IF(OR(F3 = "Call Digital", F3 = "Put Digital"), "", "NO APLICA")</f>
        <v>NO APLICA</v>
      </c>
      <c r="I15" s="11" t="str">
        <f>+IF(AND(OR(F3 = "Call Asiático", F3="Put Asiático"), C3="Discretos"),"CALCULO NO DISPONIBLE","")</f>
        <v/>
      </c>
    </row>
    <row r="16" spans="1:10" ht="39" customHeight="1" thickBot="1" x14ac:dyDescent="0.35">
      <c r="E16" s="9" t="s">
        <v>30</v>
      </c>
      <c r="F16" s="7"/>
      <c r="G16" s="8" t="str">
        <f>+IF(C3 = "Discretos", "", "NO APLICA")</f>
        <v>NO APLICA</v>
      </c>
    </row>
    <row r="18" spans="5:7" ht="15.75" thickBot="1" x14ac:dyDescent="0.3"/>
    <row r="19" spans="5:7" x14ac:dyDescent="0.25">
      <c r="F19" s="15" t="s">
        <v>31</v>
      </c>
    </row>
    <row r="20" spans="5:7" ht="15.75" thickBot="1" x14ac:dyDescent="0.3">
      <c r="F20" s="16"/>
    </row>
    <row r="21" spans="5:7" ht="17.25" thickBot="1" x14ac:dyDescent="0.35">
      <c r="E21" s="10" t="s">
        <v>0</v>
      </c>
      <c r="F21" s="4">
        <v>1.0382681784403529</v>
      </c>
    </row>
    <row r="22" spans="5:7" ht="17.25" thickBot="1" x14ac:dyDescent="0.35">
      <c r="E22" s="10" t="s">
        <v>1</v>
      </c>
      <c r="F22" s="4">
        <v>0.97247466527111737</v>
      </c>
    </row>
    <row r="23" spans="5:7" ht="17.25" thickBot="1" x14ac:dyDescent="0.35">
      <c r="E23" s="10" t="s">
        <v>32</v>
      </c>
      <c r="F23" s="4">
        <v>0.50000146138490908</v>
      </c>
    </row>
    <row r="24" spans="5:7" ht="17.25" thickBot="1" x14ac:dyDescent="0.35">
      <c r="E24" s="10" t="s">
        <v>33</v>
      </c>
      <c r="F24" s="4">
        <v>0.9893429078000997</v>
      </c>
    </row>
    <row r="25" spans="5:7" ht="18" thickBot="1" x14ac:dyDescent="0.35">
      <c r="E25" s="10" t="s">
        <v>35</v>
      </c>
      <c r="F25" s="4">
        <v>1.010771889216447</v>
      </c>
    </row>
    <row r="26" spans="5:7" ht="18.75" thickBot="1" x14ac:dyDescent="0.35">
      <c r="E26" s="10" t="s">
        <v>36</v>
      </c>
      <c r="F26" s="4">
        <v>0.9946571810428454</v>
      </c>
      <c r="G26" s="8"/>
    </row>
    <row r="27" spans="5:7" ht="18.75" thickBot="1" x14ac:dyDescent="0.35">
      <c r="E27" s="10" t="s">
        <v>37</v>
      </c>
      <c r="F27" s="4">
        <v>1.0053715180053824</v>
      </c>
      <c r="G27" s="8"/>
    </row>
    <row r="28" spans="5:7" ht="17.25" thickBot="1" x14ac:dyDescent="0.35">
      <c r="E28" s="10" t="s">
        <v>42</v>
      </c>
      <c r="F28" s="4">
        <v>0.10714285714285714</v>
      </c>
    </row>
    <row r="29" spans="5:7" ht="17.25" thickBot="1" x14ac:dyDescent="0.35">
      <c r="E29" s="10" t="s">
        <v>34</v>
      </c>
      <c r="F29" s="4">
        <v>2.708587485840805</v>
      </c>
    </row>
  </sheetData>
  <mergeCells count="3">
    <mergeCell ref="F6:F7"/>
    <mergeCell ref="I2:J2"/>
    <mergeCell ref="F19:F20"/>
  </mergeCells>
  <dataValidations count="7">
    <dataValidation type="whole" allowBlank="1" showInputMessage="1" showErrorMessage="1" errorTitle="NÚMERO DE PERIODOS  INVALIDO" error="El número de periodos debe ser un entero mayor que 0." sqref="F10" xr:uid="{00000000-0002-0000-0100-000000000000}">
      <formula1>1</formula1>
      <formula2>1000000</formula2>
    </dataValidation>
    <dataValidation type="decimal" operator="greaterThan" allowBlank="1" showInputMessage="1" showErrorMessage="1" errorTitle="TIEMPO DE VENCIMIENTO INVALIDO" error="El tiempo de vencimiento debe ser mayor que cero." sqref="F11" xr:uid="{00000000-0002-0000-0100-000001000000}">
      <formula1>0</formula1>
    </dataValidation>
    <dataValidation type="decimal" operator="greaterThan" allowBlank="1" showInputMessage="1" showErrorMessage="1" errorTitle="PRECIO SPOT INVALIDO" error="El precio spot debe ser un valor mayor que cero." sqref="F12" xr:uid="{00000000-0002-0000-0100-000002000000}">
      <formula1>0</formula1>
    </dataValidation>
    <dataValidation type="decimal" operator="greaterThan" allowBlank="1" showInputMessage="1" showErrorMessage="1" errorTitle="PRECIO STRIKE INVALIDO" error="El precio strike debe ser un valor mayor que cero" sqref="F14" xr:uid="{00000000-0002-0000-0100-000003000000}">
      <formula1>0</formula1>
    </dataValidation>
    <dataValidation type="decimal" operator="greaterThan" allowBlank="1" showInputMessage="1" showErrorMessage="1" errorTitle="VALOR INVALIDO" error="El valor presente de los dividendos discretos debe ser mayor que cero" sqref="F16" xr:uid="{00000000-0002-0000-0100-000004000000}">
      <formula1>0</formula1>
    </dataValidation>
    <dataValidation type="decimal" operator="greaterThan" allowBlank="1" showInputMessage="1" showErrorMessage="1" errorTitle="PRECIO STRIKE INVALIDO" error="El precio Strike tiene que ser un valor mayor que cero" sqref="F13" xr:uid="{00000000-0002-0000-0100-000005000000}">
      <formula1>0</formula1>
    </dataValidation>
    <dataValidation type="decimal" operator="notEqual" allowBlank="1" showInputMessage="1" showErrorMessage="1" errorTitle="VOLATILIDAD INVALIDA" error="El valor de la volatilidad debe ser distinto de cero." sqref="F8" xr:uid="{00000000-0002-0000-0100-000006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arbol">
                <anchor moveWithCells="1">
                  <from>
                    <xdr:col>8</xdr:col>
                    <xdr:colOff>171450</xdr:colOff>
                    <xdr:row>11</xdr:row>
                    <xdr:rowOff>9525</xdr:rowOff>
                  </from>
                  <to>
                    <xdr:col>8</xdr:col>
                    <xdr:colOff>2019300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pinner 17">
              <controlPr defaultSize="0" autoPict="0">
                <anchor moveWithCells="1" sizeWithCells="1">
                  <from>
                    <xdr:col>3</xdr:col>
                    <xdr:colOff>504825</xdr:colOff>
                    <xdr:row>8</xdr:row>
                    <xdr:rowOff>123825</xdr:rowOff>
                  </from>
                  <to>
                    <xdr:col>3</xdr:col>
                    <xdr:colOff>704850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com">
                <anchor moveWithCells="1" sizeWithCells="1">
                  <from>
                    <xdr:col>8</xdr:col>
                    <xdr:colOff>238125</xdr:colOff>
                    <xdr:row>7</xdr:row>
                    <xdr:rowOff>66675</xdr:rowOff>
                  </from>
                  <to>
                    <xdr:col>8</xdr:col>
                    <xdr:colOff>2000250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7000000}">
          <x14:formula1>
            <xm:f>Auxiliar!$A$1:$A$8</xm:f>
          </x14:formula1>
          <xm:sqref>F3</xm:sqref>
        </x14:dataValidation>
        <x14:dataValidation type="list" allowBlank="1" showInputMessage="1" showErrorMessage="1" xr:uid="{00000000-0002-0000-0100-000008000000}">
          <x14:formula1>
            <xm:f>Auxiliar!$E$1:$E$12</xm:f>
          </x14:formula1>
          <xm:sqref>J4</xm:sqref>
        </x14:dataValidation>
        <x14:dataValidation type="list" allowBlank="1" showInputMessage="1" showErrorMessage="1" xr:uid="{00000000-0002-0000-0100-000009000000}">
          <x14:formula1>
            <xm:f>Auxiliar!$C$1:$C$3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LR2008"/>
  <sheetViews>
    <sheetView topLeftCell="A3"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8</v>
      </c>
      <c r="E2" s="19"/>
      <c r="F2" s="19"/>
      <c r="G2" s="19"/>
      <c r="H2" s="19"/>
      <c r="I2" s="19"/>
      <c r="J2" s="19"/>
      <c r="K2" s="19"/>
      <c r="L2" s="19"/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  <c r="S6">
        <v>101.50439841873636</v>
      </c>
    </row>
    <row r="7" spans="1:1006" x14ac:dyDescent="0.25">
      <c r="D7" s="3">
        <v>1</v>
      </c>
      <c r="R7">
        <v>97.76317961628412</v>
      </c>
    </row>
    <row r="8" spans="1:1006" x14ac:dyDescent="0.25">
      <c r="D8" s="3">
        <v>2</v>
      </c>
      <c r="Q8">
        <v>94.159853539131149</v>
      </c>
      <c r="S8">
        <v>95.072215373186026</v>
      </c>
    </row>
    <row r="9" spans="1:1006" x14ac:dyDescent="0.25">
      <c r="D9" s="3">
        <v>3</v>
      </c>
      <c r="P9">
        <v>90.689337778390268</v>
      </c>
      <c r="R9">
        <v>91.568072052443995</v>
      </c>
    </row>
    <row r="10" spans="1:1006" x14ac:dyDescent="0.25">
      <c r="D10" s="3">
        <v>4</v>
      </c>
      <c r="O10">
        <v>87.346737251083198</v>
      </c>
      <c r="Q10">
        <v>88.193083399699375</v>
      </c>
      <c r="S10">
        <v>89.047630218722034</v>
      </c>
    </row>
    <row r="11" spans="1:1006" x14ac:dyDescent="0.25">
      <c r="D11" s="3">
        <v>5</v>
      </c>
      <c r="N11">
        <v>84.12733729573813</v>
      </c>
      <c r="P11">
        <v>84.942489070771373</v>
      </c>
      <c r="R11">
        <v>85.765539258350387</v>
      </c>
    </row>
    <row r="12" spans="1:1006" x14ac:dyDescent="0.25">
      <c r="D12" s="3">
        <v>6</v>
      </c>
      <c r="M12">
        <v>81.026597022467769</v>
      </c>
      <c r="O12">
        <v>81.811704176823326</v>
      </c>
      <c r="Q12">
        <v>82.604418626393937</v>
      </c>
      <c r="S12">
        <v>83.404814082061165</v>
      </c>
    </row>
    <row r="13" spans="1:1006" x14ac:dyDescent="0.25">
      <c r="D13" s="3">
        <v>7</v>
      </c>
      <c r="L13">
        <v>78.040142908148113</v>
      </c>
      <c r="N13">
        <v>78.796312817482061</v>
      </c>
      <c r="P13">
        <v>79.559809634615945</v>
      </c>
      <c r="R13">
        <v>80.330704353617691</v>
      </c>
    </row>
    <row r="14" spans="1:1006" x14ac:dyDescent="0.25">
      <c r="D14" s="3">
        <v>8</v>
      </c>
      <c r="K14">
        <v>75.163762627664326</v>
      </c>
      <c r="M14">
        <v>75.8920618523115</v>
      </c>
      <c r="O14">
        <v>76.627417931779121</v>
      </c>
      <c r="Q14">
        <v>77.369899243456956</v>
      </c>
      <c r="S14">
        <v>78.119574827277461</v>
      </c>
    </row>
    <row r="15" spans="1:1006" x14ac:dyDescent="0.25">
      <c r="D15" s="3">
        <v>9</v>
      </c>
      <c r="J15">
        <v>72.39339911252263</v>
      </c>
      <c r="L15">
        <v>73.094854901855584</v>
      </c>
      <c r="N15">
        <v>73.803107446561555</v>
      </c>
      <c r="P15">
        <v>74.518222603796914</v>
      </c>
      <c r="R15">
        <v>75.240266868840877</v>
      </c>
    </row>
    <row r="16" spans="1:1006" x14ac:dyDescent="0.25">
      <c r="D16" s="3">
        <v>10</v>
      </c>
      <c r="I16">
        <v>69.725144828448123</v>
      </c>
      <c r="K16">
        <v>70.400746569788851</v>
      </c>
      <c r="M16">
        <v>71.082894553722895</v>
      </c>
      <c r="O16">
        <v>71.771652210063252</v>
      </c>
      <c r="Q16">
        <v>72.467083583226014</v>
      </c>
      <c r="S16">
        <v>73.16925333818557</v>
      </c>
    </row>
    <row r="17" spans="4:19" x14ac:dyDescent="0.25">
      <c r="D17" s="3">
        <v>11</v>
      </c>
      <c r="H17">
        <v>67.155236263897251</v>
      </c>
      <c r="J17">
        <v>67.805936878025264</v>
      </c>
      <c r="L17">
        <v>68.462942455292179</v>
      </c>
      <c r="N17">
        <v>69.126314087633801</v>
      </c>
      <c r="P17">
        <v>69.796113458936318</v>
      </c>
      <c r="R17">
        <v>70.4724028507718</v>
      </c>
    </row>
    <row r="18" spans="4:19" x14ac:dyDescent="0.25">
      <c r="D18" s="3">
        <v>12</v>
      </c>
      <c r="G18">
        <v>64.68004862171091</v>
      </c>
      <c r="I18">
        <v>65.306765906936278</v>
      </c>
      <c r="K18">
        <v>65.939555768852131</v>
      </c>
      <c r="M18">
        <v>66.578477047686036</v>
      </c>
      <c r="O18">
        <v>67.223589153797803</v>
      </c>
      <c r="Q18">
        <v>67.874952073204028</v>
      </c>
      <c r="S18">
        <v>68.532626373155651</v>
      </c>
    </row>
    <row r="19" spans="4:19" x14ac:dyDescent="0.25">
      <c r="D19" s="3">
        <v>13</v>
      </c>
      <c r="F19">
        <v>62.296090706421175</v>
      </c>
      <c r="H19">
        <v>62.89970863311791</v>
      </c>
      <c r="J19">
        <v>63.509175315287074</v>
      </c>
      <c r="L19">
        <v>64.124547424440649</v>
      </c>
      <c r="N19">
        <v>64.745882181209254</v>
      </c>
      <c r="P19">
        <v>65.373237360662628</v>
      </c>
      <c r="R19">
        <v>66.006671297682217</v>
      </c>
    </row>
    <row r="20" spans="4:19" x14ac:dyDescent="0.25">
      <c r="D20" s="3">
        <v>14</v>
      </c>
      <c r="E20">
        <v>60</v>
      </c>
      <c r="G20">
        <v>60.581369957426098</v>
      </c>
      <c r="I20">
        <v>61.168373098642149</v>
      </c>
      <c r="K20">
        <v>61.761064006378504</v>
      </c>
      <c r="M20">
        <v>62.359497792244809</v>
      </c>
      <c r="O20">
        <v>62.963730101854672</v>
      </c>
      <c r="Q20">
        <v>63.573817119999696</v>
      </c>
      <c r="S20">
        <v>64.189815575874178</v>
      </c>
    </row>
    <row r="21" spans="4:19" x14ac:dyDescent="0.25">
      <c r="D21" s="3">
        <v>15</v>
      </c>
      <c r="F21">
        <v>58.348479916267038</v>
      </c>
      <c r="H21">
        <v>58.913847471013668</v>
      </c>
      <c r="J21">
        <v>59.484693154280848</v>
      </c>
      <c r="L21">
        <v>60.061070046390988</v>
      </c>
      <c r="N21">
        <v>60.643031741988253</v>
      </c>
      <c r="P21">
        <v>61.230632355022102</v>
      </c>
      <c r="R21">
        <v>61.823926523778937</v>
      </c>
    </row>
    <row r="22" spans="4:19" x14ac:dyDescent="0.25">
      <c r="D22" s="3">
        <v>16</v>
      </c>
      <c r="G22">
        <v>56.742418475650304</v>
      </c>
      <c r="I22">
        <v>57.292224099207679</v>
      </c>
      <c r="K22">
        <v>57.847357063964395</v>
      </c>
      <c r="M22">
        <v>58.407868989189211</v>
      </c>
      <c r="O22">
        <v>58.973811994315774</v>
      </c>
      <c r="Q22">
        <v>59.545238703788968</v>
      </c>
      <c r="S22">
        <v>60.122202251958079</v>
      </c>
    </row>
    <row r="23" spans="4:19" x14ac:dyDescent="0.25">
      <c r="D23" s="3">
        <v>17</v>
      </c>
      <c r="H23">
        <v>55.180564413781696</v>
      </c>
      <c r="J23">
        <v>55.715236453514834</v>
      </c>
      <c r="L23">
        <v>56.255089197597584</v>
      </c>
      <c r="N23">
        <v>56.800172844461052</v>
      </c>
      <c r="P23">
        <v>57.350538078934036</v>
      </c>
      <c r="R23">
        <v>57.906236076955956</v>
      </c>
    </row>
    <row r="24" spans="4:19" x14ac:dyDescent="0.25">
      <c r="D24" s="3">
        <v>18</v>
      </c>
      <c r="I24">
        <v>53.661700907763688</v>
      </c>
      <c r="K24">
        <v>54.181655920632991</v>
      </c>
      <c r="M24">
        <v>54.706649037230562</v>
      </c>
      <c r="O24">
        <v>55.236729074258875</v>
      </c>
      <c r="Q24">
        <v>55.771945321429847</v>
      </c>
      <c r="S24">
        <v>56.312347546048045</v>
      </c>
    </row>
    <row r="25" spans="4:19" x14ac:dyDescent="0.25">
      <c r="D25" s="3">
        <v>19</v>
      </c>
      <c r="J25">
        <v>52.184644628156306</v>
      </c>
      <c r="L25">
        <v>52.690287705252423</v>
      </c>
      <c r="N25">
        <v>53.200830210585288</v>
      </c>
      <c r="P25">
        <v>53.716319617161297</v>
      </c>
      <c r="R25">
        <v>54.236803857976554</v>
      </c>
    </row>
    <row r="26" spans="4:19" x14ac:dyDescent="0.25">
      <c r="D26" s="3">
        <v>20</v>
      </c>
      <c r="K26">
        <v>50.74824481705852</v>
      </c>
      <c r="M26">
        <v>51.239969899204219</v>
      </c>
      <c r="O26">
        <v>51.736459551184474</v>
      </c>
      <c r="Q26">
        <v>52.237759939295287</v>
      </c>
      <c r="S26">
        <v>52.743917677160994</v>
      </c>
    </row>
    <row r="27" spans="4:19" x14ac:dyDescent="0.25">
      <c r="D27" s="3">
        <v>21</v>
      </c>
      <c r="L27">
        <v>49.3513823915657</v>
      </c>
      <c r="N27">
        <v>49.829572576230753</v>
      </c>
      <c r="P27">
        <v>50.312396184350824</v>
      </c>
      <c r="R27">
        <v>50.799898111479166</v>
      </c>
    </row>
    <row r="28" spans="4:19" x14ac:dyDescent="0.25">
      <c r="D28" s="3">
        <v>22</v>
      </c>
      <c r="M28">
        <v>47.992969071904767</v>
      </c>
      <c r="O28">
        <v>48.457996911672851</v>
      </c>
      <c r="Q28">
        <v>48.927530638364409</v>
      </c>
      <c r="S28">
        <v>49.401613911767569</v>
      </c>
    </row>
    <row r="29" spans="4:19" x14ac:dyDescent="0.25">
      <c r="D29" s="3">
        <v>23</v>
      </c>
      <c r="N29">
        <v>46.671946533567677</v>
      </c>
      <c r="P29">
        <v>47.124174326387894</v>
      </c>
      <c r="R29">
        <v>47.580783980085769</v>
      </c>
    </row>
    <row r="30" spans="4:19" x14ac:dyDescent="0.25">
      <c r="D30" s="3">
        <v>24</v>
      </c>
      <c r="O30">
        <v>45.387285582782717</v>
      </c>
      <c r="Q30">
        <v>45.827065654231852</v>
      </c>
      <c r="S30">
        <v>46.27110697437125</v>
      </c>
    </row>
    <row r="31" spans="4:19" x14ac:dyDescent="0.25">
      <c r="D31" s="3">
        <v>25</v>
      </c>
      <c r="P31">
        <v>44.137985354681234</v>
      </c>
      <c r="R31">
        <v>44.565660332456638</v>
      </c>
    </row>
    <row r="32" spans="4:19" x14ac:dyDescent="0.25">
      <c r="D32" s="3">
        <v>26</v>
      </c>
      <c r="Q32">
        <v>42.923072533535112</v>
      </c>
      <c r="S32">
        <v>43.338975614392083</v>
      </c>
    </row>
    <row r="33" spans="4:19" x14ac:dyDescent="0.25">
      <c r="D33" s="3">
        <v>27</v>
      </c>
      <c r="R33">
        <v>41.741600594457452</v>
      </c>
    </row>
    <row r="34" spans="4:19" x14ac:dyDescent="0.25">
      <c r="D34" s="3">
        <v>28</v>
      </c>
      <c r="S34">
        <v>40.592649065975685</v>
      </c>
    </row>
    <row r="2007" spans="4:4" x14ac:dyDescent="0.25">
      <c r="D2007" s="3"/>
    </row>
    <row r="2008" spans="4:4" x14ac:dyDescent="0.25">
      <c r="D2008" s="3"/>
    </row>
  </sheetData>
  <mergeCells count="1">
    <mergeCell ref="D2:L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LR32774"/>
  <sheetViews>
    <sheetView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9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2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  <c r="S6">
        <v>36.831349318736358</v>
      </c>
    </row>
    <row r="7" spans="1:1006" x14ac:dyDescent="0.25">
      <c r="D7" s="3">
        <v>1</v>
      </c>
      <c r="R7">
        <v>33.257026194025897</v>
      </c>
    </row>
    <row r="8" spans="1:1006" x14ac:dyDescent="0.25">
      <c r="D8" s="3">
        <v>2</v>
      </c>
      <c r="Q8">
        <v>29.854442340725416</v>
      </c>
      <c r="S8">
        <v>30.399166273186026</v>
      </c>
    </row>
    <row r="9" spans="1:1006" x14ac:dyDescent="0.25">
      <c r="D9" s="3">
        <v>3</v>
      </c>
      <c r="P9">
        <v>26.616153846978417</v>
      </c>
      <c r="R9">
        <v>27.095017968319478</v>
      </c>
    </row>
    <row r="10" spans="1:1006" x14ac:dyDescent="0.25">
      <c r="D10" s="3">
        <v>4</v>
      </c>
      <c r="O10">
        <v>23.535031925737201</v>
      </c>
      <c r="Q10">
        <v>23.951260620805179</v>
      </c>
      <c r="S10">
        <v>24.374581118722034</v>
      </c>
    </row>
    <row r="11" spans="1:1006" x14ac:dyDescent="0.25">
      <c r="D11" s="3">
        <v>5</v>
      </c>
      <c r="N11">
        <v>20.604249652237876</v>
      </c>
      <c r="P11">
        <v>20.960926988788774</v>
      </c>
      <c r="R11">
        <v>21.323487056437656</v>
      </c>
    </row>
    <row r="12" spans="1:1006" x14ac:dyDescent="0.25">
      <c r="D12" s="3">
        <v>6</v>
      </c>
      <c r="M12">
        <v>17.81726925882781</v>
      </c>
      <c r="O12">
        <v>18.117344933370376</v>
      </c>
      <c r="Q12">
        <v>18.422154763263187</v>
      </c>
      <c r="S12">
        <v>18.731764982061165</v>
      </c>
    </row>
    <row r="13" spans="1:1006" x14ac:dyDescent="0.25">
      <c r="D13" s="3">
        <v>7</v>
      </c>
      <c r="L13">
        <v>15.171332366717479</v>
      </c>
      <c r="N13">
        <v>15.414124997069459</v>
      </c>
      <c r="P13">
        <v>15.664063461475978</v>
      </c>
      <c r="R13">
        <v>15.917689490662976</v>
      </c>
    </row>
    <row r="14" spans="1:1006" x14ac:dyDescent="0.25">
      <c r="D14" s="3">
        <v>8</v>
      </c>
      <c r="K14">
        <v>12.680112780854518</v>
      </c>
      <c r="M14">
        <v>12.852228785977065</v>
      </c>
      <c r="O14">
        <v>13.042968723208714</v>
      </c>
      <c r="Q14">
        <v>13.243420136012334</v>
      </c>
      <c r="S14">
        <v>13.446525727277461</v>
      </c>
    </row>
    <row r="15" spans="1:1006" x14ac:dyDescent="0.25">
      <c r="D15" s="3">
        <v>9</v>
      </c>
      <c r="J15">
        <v>10.376168820475135</v>
      </c>
      <c r="L15">
        <v>10.462056971118404</v>
      </c>
      <c r="N15">
        <v>10.567203977784159</v>
      </c>
      <c r="P15">
        <v>10.702854312749068</v>
      </c>
      <c r="R15">
        <v>10.854449291780037</v>
      </c>
    </row>
    <row r="16" spans="1:1006" x14ac:dyDescent="0.25">
      <c r="D16" s="3">
        <v>10</v>
      </c>
      <c r="I16">
        <v>8.3004205278724665</v>
      </c>
      <c r="K16">
        <v>8.2957539276746459</v>
      </c>
      <c r="M16">
        <v>8.2972640804844673</v>
      </c>
      <c r="O16">
        <v>8.3190829266813537</v>
      </c>
      <c r="Q16">
        <v>8.3928542343115922</v>
      </c>
      <c r="S16">
        <v>8.4962042381855696</v>
      </c>
    </row>
    <row r="17" spans="4:19" x14ac:dyDescent="0.25">
      <c r="D17" s="3">
        <v>11</v>
      </c>
      <c r="H17">
        <v>6.4875477043587004</v>
      </c>
      <c r="J17">
        <v>6.4034830447760429</v>
      </c>
      <c r="L17">
        <v>6.308160627899662</v>
      </c>
      <c r="N17">
        <v>6.2060658555310662</v>
      </c>
      <c r="P17">
        <v>6.1145226093135179</v>
      </c>
      <c r="R17">
        <v>6.1120591079718372</v>
      </c>
    </row>
    <row r="18" spans="4:19" x14ac:dyDescent="0.25">
      <c r="D18" s="3">
        <v>12</v>
      </c>
      <c r="G18">
        <v>4.9555460204791313</v>
      </c>
      <c r="I18">
        <v>4.8144309824154403</v>
      </c>
      <c r="K18">
        <v>4.6491567236286411</v>
      </c>
      <c r="M18">
        <v>4.4549475599946771</v>
      </c>
      <c r="O18">
        <v>4.2267389311327728</v>
      </c>
      <c r="Q18">
        <v>3.967907971534034</v>
      </c>
      <c r="S18">
        <v>3.8595772731556508</v>
      </c>
    </row>
    <row r="19" spans="4:19" x14ac:dyDescent="0.25">
      <c r="D19" s="3">
        <v>13</v>
      </c>
      <c r="F19">
        <v>3.7023898252572516</v>
      </c>
      <c r="H19">
        <v>3.5302968787153164</v>
      </c>
      <c r="J19">
        <v>3.3290909686800885</v>
      </c>
      <c r="L19">
        <v>3.0903038166565069</v>
      </c>
      <c r="N19">
        <v>2.7997957118774064</v>
      </c>
      <c r="P19">
        <v>2.4300044109794561</v>
      </c>
      <c r="R19">
        <v>1.9092282813699828</v>
      </c>
    </row>
    <row r="20" spans="4:19" x14ac:dyDescent="0.25">
      <c r="D20" s="3">
        <v>14</v>
      </c>
      <c r="E20">
        <v>2.708587485840805</v>
      </c>
      <c r="G20">
        <v>2.5289900038382291</v>
      </c>
      <c r="I20">
        <v>2.32221142458847</v>
      </c>
      <c r="K20">
        <v>2.0807389050496488</v>
      </c>
      <c r="M20">
        <v>1.7922291115215971</v>
      </c>
      <c r="O20">
        <v>1.4331625061152344</v>
      </c>
      <c r="Q20">
        <v>0.94444349015524287</v>
      </c>
      <c r="S20">
        <v>0</v>
      </c>
    </row>
    <row r="21" spans="4:19" x14ac:dyDescent="0.25">
      <c r="D21" s="3">
        <v>15</v>
      </c>
      <c r="F21">
        <v>1.7731327163109731</v>
      </c>
      <c r="H21">
        <v>1.5821614353113613</v>
      </c>
      <c r="J21">
        <v>1.3653553493553223</v>
      </c>
      <c r="L21">
        <v>1.1159952009402496</v>
      </c>
      <c r="N21">
        <v>0.82326812111020464</v>
      </c>
      <c r="P21">
        <v>0.46719059988812506</v>
      </c>
      <c r="R21">
        <v>0</v>
      </c>
    </row>
    <row r="22" spans="4:19" x14ac:dyDescent="0.25">
      <c r="D22" s="3">
        <v>16</v>
      </c>
      <c r="G22">
        <v>1.0554711003994588</v>
      </c>
      <c r="I22">
        <v>0.87619295506253081</v>
      </c>
      <c r="K22">
        <v>0.67938261094779262</v>
      </c>
      <c r="M22">
        <v>0.46380016100808991</v>
      </c>
      <c r="O22">
        <v>0.23110652876430809</v>
      </c>
      <c r="Q22">
        <v>0</v>
      </c>
      <c r="S22">
        <v>0</v>
      </c>
    </row>
    <row r="23" spans="4:19" x14ac:dyDescent="0.25">
      <c r="D23" s="3">
        <v>17</v>
      </c>
      <c r="H23">
        <v>0.55151658867923414</v>
      </c>
      <c r="J23">
        <v>0.40590426340339308</v>
      </c>
      <c r="L23">
        <v>0.25740397993224928</v>
      </c>
      <c r="N23">
        <v>0.11432213672594815</v>
      </c>
      <c r="P23">
        <v>0</v>
      </c>
      <c r="R23">
        <v>0</v>
      </c>
    </row>
    <row r="24" spans="4:19" x14ac:dyDescent="0.25">
      <c r="D24" s="3">
        <v>18</v>
      </c>
      <c r="I24">
        <v>0.23872011029811804</v>
      </c>
      <c r="K24">
        <v>0.1411690543003844</v>
      </c>
      <c r="M24">
        <v>5.6552062875364482E-2</v>
      </c>
      <c r="O24">
        <v>0</v>
      </c>
      <c r="Q24">
        <v>0</v>
      </c>
      <c r="S24">
        <v>0</v>
      </c>
    </row>
    <row r="25" spans="4:19" x14ac:dyDescent="0.25">
      <c r="D25" s="3">
        <v>19</v>
      </c>
      <c r="J25">
        <v>7.667792810378557E-2</v>
      </c>
      <c r="L25">
        <v>2.7974772927186586E-2</v>
      </c>
      <c r="N25">
        <v>0</v>
      </c>
      <c r="P25">
        <v>0</v>
      </c>
      <c r="R25">
        <v>0</v>
      </c>
    </row>
    <row r="26" spans="4:19" x14ac:dyDescent="0.25">
      <c r="D26" s="3">
        <v>20</v>
      </c>
      <c r="K26">
        <v>1.3838362042643838E-2</v>
      </c>
      <c r="M26">
        <v>0</v>
      </c>
      <c r="O26">
        <v>0</v>
      </c>
      <c r="Q26">
        <v>0</v>
      </c>
      <c r="S26">
        <v>0</v>
      </c>
    </row>
    <row r="27" spans="4:19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9" x14ac:dyDescent="0.25">
      <c r="D28" s="3">
        <v>22</v>
      </c>
      <c r="M28">
        <v>0</v>
      </c>
      <c r="O28">
        <v>0</v>
      </c>
      <c r="Q28">
        <v>0</v>
      </c>
      <c r="S28">
        <v>0</v>
      </c>
    </row>
    <row r="29" spans="4:19" x14ac:dyDescent="0.25">
      <c r="D29" s="3">
        <v>23</v>
      </c>
      <c r="N29">
        <v>0</v>
      </c>
      <c r="P29">
        <v>0</v>
      </c>
      <c r="R29">
        <v>0</v>
      </c>
    </row>
    <row r="30" spans="4:19" x14ac:dyDescent="0.25">
      <c r="D30" s="3">
        <v>24</v>
      </c>
      <c r="O30">
        <v>0</v>
      </c>
      <c r="Q30">
        <v>0</v>
      </c>
      <c r="S30">
        <v>0</v>
      </c>
    </row>
    <row r="31" spans="4:19" x14ac:dyDescent="0.25">
      <c r="D31" s="3">
        <v>25</v>
      </c>
      <c r="P31">
        <v>0</v>
      </c>
      <c r="R31">
        <v>0</v>
      </c>
    </row>
    <row r="32" spans="4:19" x14ac:dyDescent="0.25">
      <c r="D32" s="3">
        <v>26</v>
      </c>
      <c r="Q32">
        <v>0</v>
      </c>
      <c r="S32">
        <v>0</v>
      </c>
    </row>
    <row r="33" spans="4:19" x14ac:dyDescent="0.25">
      <c r="D33" s="3">
        <v>27</v>
      </c>
      <c r="R33">
        <v>0</v>
      </c>
    </row>
    <row r="34" spans="4:19" x14ac:dyDescent="0.25">
      <c r="D34" s="3">
        <v>28</v>
      </c>
      <c r="S34">
        <v>0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LR32774"/>
  <sheetViews>
    <sheetView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10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3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</row>
    <row r="7" spans="1:1006" x14ac:dyDescent="0.25">
      <c r="D7" s="3">
        <v>1</v>
      </c>
      <c r="R7">
        <v>0.9946571810428454</v>
      </c>
    </row>
    <row r="8" spans="1:1006" x14ac:dyDescent="0.25">
      <c r="D8" s="3">
        <v>2</v>
      </c>
      <c r="Q8">
        <v>0.98934290780009826</v>
      </c>
    </row>
    <row r="9" spans="1:1006" x14ac:dyDescent="0.25">
      <c r="D9" s="3">
        <v>3</v>
      </c>
      <c r="P9">
        <v>0.98405702775717896</v>
      </c>
      <c r="R9">
        <v>0.9946571810428454</v>
      </c>
    </row>
    <row r="10" spans="1:1006" x14ac:dyDescent="0.25">
      <c r="D10" s="3">
        <v>4</v>
      </c>
      <c r="O10">
        <v>0.97879938921435805</v>
      </c>
      <c r="Q10">
        <v>0.98934290780010115</v>
      </c>
    </row>
    <row r="11" spans="1:1006" x14ac:dyDescent="0.25">
      <c r="D11" s="3">
        <v>5</v>
      </c>
      <c r="N11">
        <v>0.97356984128241075</v>
      </c>
      <c r="P11">
        <v>0.98405702775717963</v>
      </c>
      <c r="R11">
        <v>0.9946571810428454</v>
      </c>
    </row>
    <row r="12" spans="1:1006" x14ac:dyDescent="0.25">
      <c r="D12" s="3">
        <v>6</v>
      </c>
      <c r="M12">
        <v>0.96836823387829474</v>
      </c>
      <c r="O12">
        <v>0.97879938921435639</v>
      </c>
      <c r="Q12">
        <v>0.98934290780009881</v>
      </c>
    </row>
    <row r="13" spans="1:1006" x14ac:dyDescent="0.25">
      <c r="D13" s="3">
        <v>7</v>
      </c>
      <c r="L13">
        <v>0.96182283241406941</v>
      </c>
      <c r="N13">
        <v>0.97356984128241131</v>
      </c>
      <c r="P13">
        <v>0.98405702775717818</v>
      </c>
      <c r="R13">
        <v>0.9946571810428454</v>
      </c>
    </row>
    <row r="14" spans="1:1006" x14ac:dyDescent="0.25">
      <c r="D14" s="3">
        <v>8</v>
      </c>
      <c r="K14">
        <v>0.94718742038498116</v>
      </c>
      <c r="M14">
        <v>0.96551702556766006</v>
      </c>
      <c r="O14">
        <v>0.9787993892143555</v>
      </c>
      <c r="Q14">
        <v>0.98934290780009992</v>
      </c>
    </row>
    <row r="15" spans="1:1006" x14ac:dyDescent="0.25">
      <c r="D15" s="3">
        <v>9</v>
      </c>
      <c r="J15">
        <v>0.91558247223909461</v>
      </c>
      <c r="L15">
        <v>0.94208166870064414</v>
      </c>
      <c r="N15">
        <v>0.96764283930112927</v>
      </c>
      <c r="P15">
        <v>0.98405702775717807</v>
      </c>
      <c r="R15">
        <v>0.9946571810428454</v>
      </c>
    </row>
    <row r="16" spans="1:1006" x14ac:dyDescent="0.25">
      <c r="D16" s="3">
        <v>10</v>
      </c>
      <c r="I16">
        <v>0.8613608642074887</v>
      </c>
      <c r="K16">
        <v>0.89200797181639468</v>
      </c>
      <c r="M16">
        <v>0.92752384334835858</v>
      </c>
      <c r="O16">
        <v>0.96647852428312553</v>
      </c>
      <c r="Q16">
        <v>0.98934290780009937</v>
      </c>
    </row>
    <row r="17" spans="4:18" x14ac:dyDescent="0.25">
      <c r="D17" s="3">
        <v>11</v>
      </c>
      <c r="H17">
        <v>0.78475943236726309</v>
      </c>
      <c r="J17">
        <v>0.81303720401591717</v>
      </c>
      <c r="L17">
        <v>0.84845326034337099</v>
      </c>
      <c r="N17">
        <v>0.89499184424508837</v>
      </c>
      <c r="P17">
        <v>0.95844480202600457</v>
      </c>
      <c r="R17">
        <v>0.9946571810428454</v>
      </c>
    </row>
    <row r="18" spans="4:18" x14ac:dyDescent="0.25">
      <c r="D18" s="3">
        <v>12</v>
      </c>
      <c r="G18">
        <v>0.69120706645074459</v>
      </c>
      <c r="I18">
        <v>0.71169091213926194</v>
      </c>
      <c r="K18">
        <v>0.73775310042304232</v>
      </c>
      <c r="M18">
        <v>0.7734559357007359</v>
      </c>
      <c r="O18">
        <v>0.82860844464678907</v>
      </c>
      <c r="Q18">
        <v>0.93610102011071639</v>
      </c>
    </row>
    <row r="19" spans="4:18" x14ac:dyDescent="0.25">
      <c r="D19" s="3">
        <v>13</v>
      </c>
      <c r="F19">
        <v>0.58887060070998487</v>
      </c>
      <c r="H19">
        <v>0.59900164019225643</v>
      </c>
      <c r="J19">
        <v>0.61139171078696586</v>
      </c>
      <c r="L19">
        <v>0.62775658886050378</v>
      </c>
      <c r="N19">
        <v>0.65228704002969662</v>
      </c>
      <c r="P19">
        <v>0.6991900255980017</v>
      </c>
      <c r="R19">
        <v>0.88397962281413556</v>
      </c>
    </row>
    <row r="20" spans="4:18" x14ac:dyDescent="0.25">
      <c r="D20" s="3">
        <v>14</v>
      </c>
      <c r="E20">
        <v>0.4861040106277672</v>
      </c>
      <c r="G20">
        <v>0.48615012656458256</v>
      </c>
      <c r="I20">
        <v>0.48534038847438593</v>
      </c>
      <c r="K20">
        <v>0.48327086864686236</v>
      </c>
      <c r="M20">
        <v>0.47917110087473369</v>
      </c>
      <c r="O20">
        <v>0.47127999159799222</v>
      </c>
      <c r="Q20">
        <v>0.45401470158137253</v>
      </c>
    </row>
    <row r="21" spans="4:18" x14ac:dyDescent="0.25">
      <c r="D21" s="3">
        <v>15</v>
      </c>
      <c r="F21">
        <v>0.3817829336123269</v>
      </c>
      <c r="H21">
        <v>0.37106227207581727</v>
      </c>
      <c r="J21">
        <v>0.35615060648056968</v>
      </c>
      <c r="L21">
        <v>0.33437639540225805</v>
      </c>
      <c r="N21">
        <v>0.29966369676320942</v>
      </c>
      <c r="P21">
        <v>0.23318337202820927</v>
      </c>
      <c r="R21">
        <v>0</v>
      </c>
    </row>
    <row r="22" spans="4:18" x14ac:dyDescent="0.25">
      <c r="D22" s="3">
        <v>16</v>
      </c>
      <c r="G22">
        <v>0.27459431339436985</v>
      </c>
      <c r="I22">
        <v>0.25317306664048123</v>
      </c>
      <c r="K22">
        <v>0.22438471381869779</v>
      </c>
      <c r="M22">
        <v>0.18349833630192464</v>
      </c>
      <c r="O22">
        <v>0.11976370985576827</v>
      </c>
      <c r="Q22">
        <v>0</v>
      </c>
    </row>
    <row r="23" spans="4:18" x14ac:dyDescent="0.25">
      <c r="D23" s="3">
        <v>17</v>
      </c>
      <c r="H23">
        <v>0.17464891678946765</v>
      </c>
      <c r="J23">
        <v>0.14603972285843181</v>
      </c>
      <c r="L23">
        <v>0.10944290005229128</v>
      </c>
      <c r="N23">
        <v>6.1511016303005671E-2</v>
      </c>
      <c r="P23">
        <v>0</v>
      </c>
      <c r="R23">
        <v>0</v>
      </c>
    </row>
    <row r="24" spans="4:18" x14ac:dyDescent="0.25">
      <c r="D24" s="3">
        <v>18</v>
      </c>
      <c r="I24">
        <v>9.2751401122648985E-2</v>
      </c>
      <c r="K24">
        <v>6.4015740786290992E-2</v>
      </c>
      <c r="M24">
        <v>3.1592250533865468E-2</v>
      </c>
      <c r="O24">
        <v>0</v>
      </c>
      <c r="Q24">
        <v>0</v>
      </c>
    </row>
    <row r="25" spans="4:18" x14ac:dyDescent="0.25">
      <c r="D25" s="3">
        <v>19</v>
      </c>
      <c r="J25">
        <v>3.6887626794666256E-2</v>
      </c>
      <c r="L25">
        <v>1.6225878773941594E-2</v>
      </c>
      <c r="N25">
        <v>0</v>
      </c>
      <c r="P25">
        <v>0</v>
      </c>
      <c r="R25">
        <v>0</v>
      </c>
    </row>
    <row r="26" spans="4:18" x14ac:dyDescent="0.25">
      <c r="D26" s="3">
        <v>20</v>
      </c>
      <c r="K26">
        <v>8.3336621335168108E-3</v>
      </c>
      <c r="M26">
        <v>0</v>
      </c>
      <c r="O26">
        <v>0</v>
      </c>
      <c r="Q26">
        <v>0</v>
      </c>
    </row>
    <row r="27" spans="4:18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8" x14ac:dyDescent="0.25">
      <c r="D28" s="3">
        <v>22</v>
      </c>
      <c r="M28">
        <v>0</v>
      </c>
      <c r="O28">
        <v>0</v>
      </c>
      <c r="Q28">
        <v>0</v>
      </c>
    </row>
    <row r="29" spans="4:18" x14ac:dyDescent="0.25">
      <c r="D29" s="3">
        <v>23</v>
      </c>
      <c r="N29">
        <v>0</v>
      </c>
      <c r="P29">
        <v>0</v>
      </c>
      <c r="R29">
        <v>0</v>
      </c>
    </row>
    <row r="30" spans="4:18" x14ac:dyDescent="0.25">
      <c r="D30" s="3">
        <v>24</v>
      </c>
      <c r="O30">
        <v>0</v>
      </c>
      <c r="Q30">
        <v>0</v>
      </c>
    </row>
    <row r="31" spans="4:18" x14ac:dyDescent="0.25">
      <c r="D31" s="3">
        <v>25</v>
      </c>
      <c r="P31">
        <v>0</v>
      </c>
      <c r="R31">
        <v>0</v>
      </c>
    </row>
    <row r="32" spans="4:18" x14ac:dyDescent="0.25">
      <c r="D32" s="3">
        <v>26</v>
      </c>
      <c r="Q32">
        <v>0</v>
      </c>
    </row>
    <row r="33" spans="4:18" x14ac:dyDescent="0.25">
      <c r="D33" s="3">
        <v>27</v>
      </c>
      <c r="R33">
        <v>0</v>
      </c>
    </row>
    <row r="34" spans="4:18" x14ac:dyDescent="0.25">
      <c r="D34" s="3">
        <v>28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LR32774"/>
  <sheetViews>
    <sheetView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7.25" customHeight="1" x14ac:dyDescent="0.25">
      <c r="D2" s="19" t="s">
        <v>11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3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</row>
    <row r="7" spans="1:1006" x14ac:dyDescent="0.25">
      <c r="D7" s="3">
        <v>1</v>
      </c>
      <c r="R7">
        <v>-63.983822452892618</v>
      </c>
    </row>
    <row r="8" spans="1:1006" x14ac:dyDescent="0.25">
      <c r="D8" s="3">
        <v>2</v>
      </c>
      <c r="Q8">
        <v>-63.301940957709959</v>
      </c>
    </row>
    <row r="9" spans="1:1006" x14ac:dyDescent="0.25">
      <c r="D9" s="3">
        <v>3</v>
      </c>
      <c r="P9">
        <v>-62.627326336491151</v>
      </c>
      <c r="R9">
        <v>-63.983822452892618</v>
      </c>
    </row>
    <row r="10" spans="1:1006" x14ac:dyDescent="0.25">
      <c r="D10" s="3">
        <v>4</v>
      </c>
      <c r="O10">
        <v>-61.959901145490036</v>
      </c>
      <c r="Q10">
        <v>-63.301940957710222</v>
      </c>
    </row>
    <row r="11" spans="1:1006" x14ac:dyDescent="0.25">
      <c r="D11" s="3">
        <v>5</v>
      </c>
      <c r="N11">
        <v>-61.29958876628573</v>
      </c>
      <c r="P11">
        <v>-62.627326336491201</v>
      </c>
      <c r="R11">
        <v>-63.983822452892618</v>
      </c>
    </row>
    <row r="12" spans="1:1006" x14ac:dyDescent="0.25">
      <c r="D12" s="3">
        <v>6</v>
      </c>
      <c r="M12">
        <v>-60.646313396987594</v>
      </c>
      <c r="O12">
        <v>-61.959901145489908</v>
      </c>
      <c r="Q12">
        <v>-63.301940957710023</v>
      </c>
    </row>
    <row r="13" spans="1:1006" x14ac:dyDescent="0.25">
      <c r="D13" s="3">
        <v>7</v>
      </c>
      <c r="L13">
        <v>-59.88945892719628</v>
      </c>
      <c r="N13">
        <v>-61.299588766285773</v>
      </c>
      <c r="P13">
        <v>-62.627326336491087</v>
      </c>
      <c r="R13">
        <v>-63.983822452892618</v>
      </c>
    </row>
    <row r="14" spans="1:1006" x14ac:dyDescent="0.25">
      <c r="D14" s="3">
        <v>8</v>
      </c>
      <c r="K14">
        <v>-58.514057648871905</v>
      </c>
      <c r="M14">
        <v>-60.422849037863614</v>
      </c>
      <c r="O14">
        <v>-61.959901145489837</v>
      </c>
      <c r="Q14">
        <v>-63.301940957710109</v>
      </c>
    </row>
    <row r="15" spans="1:1006" x14ac:dyDescent="0.25">
      <c r="D15" s="3">
        <v>9</v>
      </c>
      <c r="J15">
        <v>-55.90595851275981</v>
      </c>
      <c r="L15">
        <v>-58.399265908253163</v>
      </c>
      <c r="N15">
        <v>-60.847844461052979</v>
      </c>
      <c r="P15">
        <v>-62.62732633649108</v>
      </c>
      <c r="R15">
        <v>-63.983822452892618</v>
      </c>
    </row>
    <row r="16" spans="1:1006" x14ac:dyDescent="0.25">
      <c r="D16" s="3">
        <v>10</v>
      </c>
      <c r="I16">
        <v>-51.758090478551921</v>
      </c>
      <c r="K16">
        <v>-54.502273234402701</v>
      </c>
      <c r="M16">
        <v>-57.633815472310694</v>
      </c>
      <c r="O16">
        <v>-61.046677586662312</v>
      </c>
      <c r="Q16">
        <v>-63.301940957710073</v>
      </c>
    </row>
    <row r="17" spans="4:18" x14ac:dyDescent="0.25">
      <c r="D17" s="3">
        <v>11</v>
      </c>
      <c r="H17">
        <v>-46.213157386586737</v>
      </c>
      <c r="J17">
        <v>-48.725266290213384</v>
      </c>
      <c r="L17">
        <v>-51.779446110993568</v>
      </c>
      <c r="N17">
        <v>-55.661421475625538</v>
      </c>
      <c r="P17">
        <v>-60.781199537021251</v>
      </c>
      <c r="R17">
        <v>-63.983822452892618</v>
      </c>
    </row>
    <row r="18" spans="4:18" x14ac:dyDescent="0.25">
      <c r="D18" s="3">
        <v>12</v>
      </c>
      <c r="G18">
        <v>-39.75176064522519</v>
      </c>
      <c r="I18">
        <v>-41.66380081475728</v>
      </c>
      <c r="K18">
        <v>-43.997954985360124</v>
      </c>
      <c r="M18">
        <v>-47.040570702453287</v>
      </c>
      <c r="O18">
        <v>-51.475294721170378</v>
      </c>
      <c r="Q18">
        <v>-59.569903904158231</v>
      </c>
    </row>
    <row r="19" spans="4:18" x14ac:dyDescent="0.25">
      <c r="D19" s="3">
        <v>13</v>
      </c>
      <c r="F19">
        <v>-32.981946530916687</v>
      </c>
      <c r="H19">
        <v>-34.146731760137342</v>
      </c>
      <c r="J19">
        <v>-35.499892378002613</v>
      </c>
      <c r="L19">
        <v>-37.164303336733958</v>
      </c>
      <c r="N19">
        <v>-39.433104130215035</v>
      </c>
      <c r="P19">
        <v>-43.278311092646483</v>
      </c>
      <c r="R19">
        <v>-56.439324115571772</v>
      </c>
    </row>
    <row r="20" spans="4:18" x14ac:dyDescent="0.25">
      <c r="D20" s="3">
        <v>14</v>
      </c>
      <c r="E20">
        <v>-26.45765315182522</v>
      </c>
      <c r="G20">
        <v>-26.922650668420264</v>
      </c>
      <c r="I20">
        <v>-27.365270537452687</v>
      </c>
      <c r="K20">
        <v>-27.766584145867352</v>
      </c>
      <c r="M20">
        <v>-28.08864009558388</v>
      </c>
      <c r="O20">
        <v>-28.240383687265073</v>
      </c>
      <c r="Q20">
        <v>-27.919004117970172</v>
      </c>
    </row>
    <row r="21" spans="4:18" x14ac:dyDescent="0.25">
      <c r="D21" s="3">
        <v>15</v>
      </c>
      <c r="F21">
        <v>-20.503321117941393</v>
      </c>
      <c r="H21">
        <v>-20.278544664011108</v>
      </c>
      <c r="J21">
        <v>-19.820154193852389</v>
      </c>
      <c r="L21">
        <v>-18.967008905174502</v>
      </c>
      <c r="N21">
        <v>-17.34924695362265</v>
      </c>
      <c r="P21">
        <v>-13.810774724075495</v>
      </c>
      <c r="R21">
        <v>0</v>
      </c>
    </row>
    <row r="22" spans="4:18" x14ac:dyDescent="0.25">
      <c r="D22" s="3">
        <v>16</v>
      </c>
      <c r="G22">
        <v>-14.525674341257744</v>
      </c>
      <c r="I22">
        <v>-13.628655114787557</v>
      </c>
      <c r="K22">
        <v>-12.300680049017883</v>
      </c>
      <c r="M22">
        <v>-10.253946625448906</v>
      </c>
      <c r="O22">
        <v>-6.8318159800115543</v>
      </c>
      <c r="Q22">
        <v>0</v>
      </c>
    </row>
    <row r="23" spans="4:18" x14ac:dyDescent="0.25">
      <c r="D23" s="3">
        <v>17</v>
      </c>
      <c r="H23">
        <v>-9.085709214019186</v>
      </c>
      <c r="J23">
        <v>-7.73073342725991</v>
      </c>
      <c r="L23">
        <v>-5.8993161245531534</v>
      </c>
      <c r="N23">
        <v>-3.3795142211232356</v>
      </c>
      <c r="P23">
        <v>0</v>
      </c>
      <c r="R23">
        <v>0</v>
      </c>
    </row>
    <row r="24" spans="4:18" x14ac:dyDescent="0.25">
      <c r="D24" s="3">
        <v>18</v>
      </c>
      <c r="I24">
        <v>-4.7384778355214889</v>
      </c>
      <c r="K24">
        <v>-3.3273097864868655</v>
      </c>
      <c r="M24">
        <v>-1.671754099377073</v>
      </c>
      <c r="O24">
        <v>0</v>
      </c>
      <c r="Q24">
        <v>0</v>
      </c>
    </row>
    <row r="25" spans="4:18" x14ac:dyDescent="0.25">
      <c r="D25" s="3">
        <v>19</v>
      </c>
      <c r="J25">
        <v>-1.8482897673519294</v>
      </c>
      <c r="L25">
        <v>-0.82697144794234434</v>
      </c>
      <c r="N25">
        <v>0</v>
      </c>
      <c r="P25">
        <v>0</v>
      </c>
      <c r="R25">
        <v>0</v>
      </c>
    </row>
    <row r="26" spans="4:18" x14ac:dyDescent="0.25">
      <c r="D26" s="3">
        <v>20</v>
      </c>
      <c r="K26">
        <v>-0.40908036413171744</v>
      </c>
      <c r="M26">
        <v>0</v>
      </c>
      <c r="O26">
        <v>0</v>
      </c>
      <c r="Q26">
        <v>0</v>
      </c>
    </row>
    <row r="27" spans="4:18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8" x14ac:dyDescent="0.25">
      <c r="D28" s="3">
        <v>22</v>
      </c>
      <c r="M28">
        <v>0</v>
      </c>
      <c r="O28">
        <v>0</v>
      </c>
      <c r="Q28">
        <v>0</v>
      </c>
    </row>
    <row r="29" spans="4:18" x14ac:dyDescent="0.25">
      <c r="D29" s="3">
        <v>23</v>
      </c>
      <c r="N29">
        <v>0</v>
      </c>
      <c r="P29">
        <v>0</v>
      </c>
      <c r="R29">
        <v>0</v>
      </c>
    </row>
    <row r="30" spans="4:18" x14ac:dyDescent="0.25">
      <c r="D30" s="3">
        <v>24</v>
      </c>
      <c r="O30">
        <v>0</v>
      </c>
      <c r="Q30">
        <v>0</v>
      </c>
    </row>
    <row r="31" spans="4:18" x14ac:dyDescent="0.25">
      <c r="D31" s="3">
        <v>25</v>
      </c>
      <c r="P31">
        <v>0</v>
      </c>
      <c r="R31">
        <v>0</v>
      </c>
    </row>
    <row r="32" spans="4:18" x14ac:dyDescent="0.25">
      <c r="D32" s="3">
        <v>26</v>
      </c>
      <c r="Q32">
        <v>0</v>
      </c>
    </row>
    <row r="33" spans="4:18" x14ac:dyDescent="0.25">
      <c r="D33" s="3">
        <v>27</v>
      </c>
      <c r="R33">
        <v>0</v>
      </c>
    </row>
    <row r="34" spans="4:18" x14ac:dyDescent="0.25">
      <c r="D34" s="3">
        <v>28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Z1024"/>
  <sheetViews>
    <sheetView topLeftCell="AC1" zoomScaleNormal="100" workbookViewId="0">
      <selection activeCell="AS27" sqref="AS27"/>
    </sheetView>
  </sheetViews>
  <sheetFormatPr baseColWidth="10" defaultRowHeight="15" x14ac:dyDescent="0.25"/>
  <cols>
    <col min="1" max="1" width="14.28515625" style="14" bestFit="1" customWidth="1"/>
    <col min="2" max="2" width="11.42578125" style="14" hidden="1" customWidth="1"/>
    <col min="3" max="3" width="14" style="14" bestFit="1" customWidth="1"/>
    <col min="4" max="4" width="11.42578125" style="14" hidden="1" customWidth="1"/>
    <col min="5" max="5" width="3" style="14" bestFit="1" customWidth="1"/>
    <col min="6" max="11" width="11.42578125" style="14" hidden="1" customWidth="1"/>
    <col min="12" max="19" width="2" style="14" bestFit="1" customWidth="1"/>
    <col min="20" max="21" width="2" style="14" hidden="1" customWidth="1"/>
    <col min="22" max="25" width="11.42578125" style="14" hidden="1" customWidth="1"/>
    <col min="26" max="26" width="8.140625" style="14" hidden="1" customWidth="1"/>
    <col min="27" max="16384" width="11.42578125" style="14"/>
  </cols>
  <sheetData>
    <row r="1" spans="1:21" x14ac:dyDescent="0.25">
      <c r="A1" s="14" t="s">
        <v>2</v>
      </c>
      <c r="C1" s="14" t="s">
        <v>23</v>
      </c>
      <c r="E1" s="14">
        <v>1</v>
      </c>
      <c r="L1"/>
      <c r="M1"/>
      <c r="N1"/>
      <c r="O1"/>
      <c r="P1"/>
      <c r="Q1"/>
      <c r="R1"/>
      <c r="S1"/>
      <c r="T1"/>
      <c r="U1"/>
    </row>
    <row r="2" spans="1:21" x14ac:dyDescent="0.25">
      <c r="A2" s="14" t="s">
        <v>3</v>
      </c>
      <c r="C2" s="14" t="s">
        <v>25</v>
      </c>
      <c r="E2" s="14">
        <v>2</v>
      </c>
      <c r="L2"/>
      <c r="M2"/>
      <c r="N2"/>
      <c r="O2"/>
      <c r="P2"/>
      <c r="Q2"/>
      <c r="R2"/>
      <c r="S2"/>
      <c r="T2"/>
      <c r="U2"/>
    </row>
    <row r="3" spans="1:21" x14ac:dyDescent="0.25">
      <c r="A3" s="14" t="s">
        <v>12</v>
      </c>
      <c r="C3" s="14" t="s">
        <v>27</v>
      </c>
      <c r="E3" s="14">
        <v>3</v>
      </c>
      <c r="L3"/>
      <c r="M3"/>
      <c r="N3"/>
      <c r="O3"/>
      <c r="P3"/>
      <c r="Q3"/>
      <c r="R3"/>
      <c r="S3"/>
      <c r="T3"/>
      <c r="U3"/>
    </row>
    <row r="4" spans="1:21" x14ac:dyDescent="0.25">
      <c r="A4" s="14" t="s">
        <v>13</v>
      </c>
      <c r="E4" s="14">
        <v>4</v>
      </c>
      <c r="L4"/>
      <c r="M4"/>
      <c r="N4"/>
      <c r="O4"/>
      <c r="P4"/>
      <c r="Q4"/>
      <c r="R4"/>
      <c r="S4"/>
      <c r="T4"/>
      <c r="U4"/>
    </row>
    <row r="5" spans="1:21" x14ac:dyDescent="0.25">
      <c r="A5" s="14" t="s">
        <v>14</v>
      </c>
      <c r="E5" s="14">
        <v>5</v>
      </c>
      <c r="L5"/>
      <c r="M5"/>
      <c r="N5"/>
      <c r="O5"/>
      <c r="P5"/>
      <c r="Q5"/>
      <c r="R5"/>
      <c r="S5"/>
      <c r="T5"/>
      <c r="U5"/>
    </row>
    <row r="6" spans="1:21" x14ac:dyDescent="0.25">
      <c r="A6" s="14" t="s">
        <v>15</v>
      </c>
      <c r="E6" s="14">
        <v>6</v>
      </c>
      <c r="L6"/>
      <c r="M6"/>
      <c r="N6"/>
      <c r="O6"/>
      <c r="P6"/>
      <c r="Q6"/>
      <c r="R6"/>
      <c r="S6"/>
      <c r="T6"/>
      <c r="U6"/>
    </row>
    <row r="7" spans="1:21" x14ac:dyDescent="0.25">
      <c r="A7" s="14" t="s">
        <v>38</v>
      </c>
      <c r="E7" s="14">
        <v>7</v>
      </c>
      <c r="L7"/>
      <c r="M7"/>
      <c r="N7"/>
      <c r="O7"/>
      <c r="P7"/>
      <c r="Q7"/>
      <c r="R7"/>
      <c r="S7"/>
      <c r="T7"/>
      <c r="U7"/>
    </row>
    <row r="8" spans="1:21" x14ac:dyDescent="0.25">
      <c r="A8" s="14" t="s">
        <v>41</v>
      </c>
      <c r="E8" s="14">
        <v>8</v>
      </c>
      <c r="L8"/>
      <c r="M8"/>
      <c r="N8"/>
      <c r="O8"/>
      <c r="P8"/>
      <c r="Q8"/>
      <c r="R8"/>
      <c r="S8"/>
      <c r="T8"/>
      <c r="U8"/>
    </row>
    <row r="9" spans="1:21" x14ac:dyDescent="0.25">
      <c r="E9" s="14">
        <v>9</v>
      </c>
      <c r="L9"/>
      <c r="M9"/>
      <c r="N9"/>
      <c r="O9"/>
      <c r="P9"/>
      <c r="Q9"/>
      <c r="R9"/>
      <c r="S9"/>
      <c r="T9"/>
      <c r="U9"/>
    </row>
    <row r="10" spans="1:21" x14ac:dyDescent="0.25">
      <c r="E10" s="14">
        <v>10</v>
      </c>
      <c r="L10"/>
      <c r="M10"/>
      <c r="N10"/>
      <c r="O10"/>
      <c r="P10"/>
      <c r="Q10"/>
      <c r="R10"/>
      <c r="S10"/>
      <c r="T10"/>
      <c r="U10"/>
    </row>
    <row r="11" spans="1:21" x14ac:dyDescent="0.25">
      <c r="E11" s="14">
        <v>11</v>
      </c>
      <c r="L11"/>
      <c r="M11"/>
      <c r="N11"/>
      <c r="O11"/>
      <c r="P11"/>
      <c r="Q11"/>
      <c r="R11"/>
      <c r="S11"/>
      <c r="T11"/>
      <c r="U11"/>
    </row>
    <row r="12" spans="1:21" x14ac:dyDescent="0.25">
      <c r="E12" s="14">
        <v>12</v>
      </c>
      <c r="L12"/>
      <c r="M12"/>
      <c r="N12"/>
      <c r="O12"/>
      <c r="P12"/>
      <c r="Q12"/>
      <c r="R12"/>
      <c r="S12"/>
      <c r="T12"/>
      <c r="U12"/>
    </row>
    <row r="13" spans="1:21" x14ac:dyDescent="0.25">
      <c r="L13"/>
      <c r="M13"/>
      <c r="N13"/>
      <c r="O13"/>
      <c r="P13"/>
      <c r="Q13"/>
      <c r="R13"/>
      <c r="S13"/>
      <c r="T13"/>
      <c r="U13"/>
    </row>
    <row r="14" spans="1:21" x14ac:dyDescent="0.25">
      <c r="L14"/>
      <c r="M14"/>
      <c r="N14"/>
      <c r="O14"/>
      <c r="P14"/>
      <c r="Q14"/>
      <c r="R14"/>
      <c r="S14"/>
      <c r="T14"/>
      <c r="U14"/>
    </row>
    <row r="15" spans="1:21" x14ac:dyDescent="0.25">
      <c r="L15"/>
      <c r="M15"/>
      <c r="N15"/>
      <c r="O15"/>
      <c r="P15"/>
      <c r="Q15"/>
      <c r="R15"/>
      <c r="S15"/>
      <c r="T15"/>
      <c r="U15"/>
    </row>
    <row r="16" spans="1:21" x14ac:dyDescent="0.25">
      <c r="L16"/>
      <c r="M16"/>
      <c r="N16"/>
      <c r="O16"/>
      <c r="P16"/>
      <c r="Q16"/>
      <c r="R16"/>
      <c r="S16"/>
      <c r="T16"/>
      <c r="U16"/>
    </row>
    <row r="17" spans="1:21" x14ac:dyDescent="0.25">
      <c r="L17"/>
      <c r="M17"/>
      <c r="N17"/>
      <c r="O17"/>
      <c r="P17"/>
      <c r="Q17"/>
      <c r="R17"/>
      <c r="S17"/>
      <c r="T17"/>
      <c r="U17"/>
    </row>
    <row r="18" spans="1:21" x14ac:dyDescent="0.25">
      <c r="L18"/>
      <c r="M18"/>
      <c r="N18"/>
      <c r="O18"/>
      <c r="P18"/>
      <c r="Q18"/>
      <c r="R18"/>
      <c r="S18"/>
      <c r="T18"/>
      <c r="U18"/>
    </row>
    <row r="19" spans="1:21" x14ac:dyDescent="0.25">
      <c r="L19"/>
      <c r="M19"/>
      <c r="N19"/>
      <c r="O19"/>
      <c r="P19"/>
      <c r="Q19"/>
      <c r="R19"/>
      <c r="S19"/>
      <c r="T19"/>
      <c r="U19"/>
    </row>
    <row r="20" spans="1:21" x14ac:dyDescent="0.25">
      <c r="L20"/>
      <c r="M20"/>
      <c r="N20"/>
      <c r="O20"/>
      <c r="P20"/>
      <c r="Q20"/>
      <c r="R20"/>
      <c r="S20"/>
      <c r="T20"/>
      <c r="U20"/>
    </row>
    <row r="21" spans="1:21" x14ac:dyDescent="0.25">
      <c r="A21" s="14">
        <f>+Datos!F10</f>
        <v>14</v>
      </c>
      <c r="L21"/>
      <c r="M21"/>
      <c r="N21"/>
      <c r="O21"/>
      <c r="P21"/>
      <c r="Q21"/>
      <c r="R21"/>
      <c r="S21"/>
      <c r="T21"/>
      <c r="U21"/>
    </row>
    <row r="22" spans="1:21" x14ac:dyDescent="0.25">
      <c r="A22" s="14" t="str">
        <f>+Datos!F3</f>
        <v>Call Europeo</v>
      </c>
      <c r="L22"/>
      <c r="M22"/>
      <c r="N22"/>
      <c r="O22"/>
      <c r="P22"/>
      <c r="Q22"/>
      <c r="R22"/>
      <c r="S22"/>
      <c r="T22"/>
      <c r="U22"/>
    </row>
    <row r="23" spans="1:21" x14ac:dyDescent="0.25">
      <c r="L23"/>
      <c r="M23"/>
      <c r="N23"/>
      <c r="O23"/>
      <c r="P23"/>
      <c r="Q23"/>
      <c r="R23"/>
      <c r="S23"/>
      <c r="T23"/>
      <c r="U23"/>
    </row>
    <row r="24" spans="1:21" x14ac:dyDescent="0.25">
      <c r="L24"/>
      <c r="M24"/>
      <c r="N24"/>
      <c r="O24"/>
      <c r="P24"/>
      <c r="Q24"/>
      <c r="R24"/>
      <c r="S24"/>
      <c r="T24"/>
      <c r="U24"/>
    </row>
    <row r="25" spans="1:21" x14ac:dyDescent="0.25">
      <c r="L25"/>
      <c r="M25"/>
      <c r="N25"/>
      <c r="O25"/>
      <c r="P25"/>
      <c r="Q25"/>
      <c r="R25"/>
      <c r="S25"/>
      <c r="T25"/>
      <c r="U25"/>
    </row>
    <row r="26" spans="1:21" x14ac:dyDescent="0.25">
      <c r="L26"/>
      <c r="M26"/>
      <c r="N26"/>
      <c r="O26"/>
      <c r="P26"/>
      <c r="Q26"/>
      <c r="R26"/>
      <c r="S26"/>
      <c r="T26"/>
      <c r="U26"/>
    </row>
    <row r="27" spans="1:21" x14ac:dyDescent="0.25">
      <c r="L27"/>
      <c r="M27"/>
      <c r="N27"/>
      <c r="O27"/>
      <c r="P27"/>
      <c r="Q27"/>
      <c r="R27"/>
      <c r="S27"/>
      <c r="T27"/>
      <c r="U27"/>
    </row>
    <row r="28" spans="1:21" x14ac:dyDescent="0.25">
      <c r="L28"/>
      <c r="M28"/>
      <c r="N28"/>
      <c r="O28"/>
      <c r="P28"/>
      <c r="Q28"/>
      <c r="R28"/>
      <c r="S28"/>
      <c r="T28"/>
      <c r="U28"/>
    </row>
    <row r="29" spans="1:21" x14ac:dyDescent="0.25">
      <c r="L29"/>
      <c r="M29"/>
      <c r="N29"/>
      <c r="O29"/>
      <c r="P29"/>
      <c r="Q29"/>
      <c r="R29"/>
      <c r="S29"/>
      <c r="T29"/>
      <c r="U29"/>
    </row>
    <row r="30" spans="1:21" x14ac:dyDescent="0.25">
      <c r="L30"/>
      <c r="M30"/>
      <c r="N30"/>
      <c r="O30"/>
      <c r="P30"/>
      <c r="Q30"/>
      <c r="R30"/>
      <c r="S30"/>
      <c r="T30"/>
      <c r="U30"/>
    </row>
    <row r="31" spans="1:21" x14ac:dyDescent="0.25">
      <c r="L31"/>
      <c r="M31"/>
      <c r="N31"/>
      <c r="O31"/>
      <c r="P31"/>
      <c r="Q31"/>
      <c r="R31"/>
      <c r="S31"/>
      <c r="T31"/>
      <c r="U31"/>
    </row>
    <row r="32" spans="1:21" x14ac:dyDescent="0.25">
      <c r="L32"/>
      <c r="M32"/>
      <c r="N32"/>
      <c r="O32"/>
      <c r="P32"/>
      <c r="Q32"/>
      <c r="R32"/>
      <c r="S32"/>
      <c r="T32"/>
      <c r="U32"/>
    </row>
    <row r="33" spans="12:21" x14ac:dyDescent="0.25">
      <c r="L33"/>
      <c r="M33"/>
      <c r="N33"/>
      <c r="O33"/>
      <c r="P33"/>
      <c r="Q33"/>
      <c r="R33"/>
      <c r="S33"/>
      <c r="T33"/>
      <c r="U33"/>
    </row>
    <row r="34" spans="12:21" x14ac:dyDescent="0.25">
      <c r="L34"/>
      <c r="M34"/>
      <c r="N34"/>
      <c r="O34"/>
      <c r="P34"/>
      <c r="Q34"/>
      <c r="R34"/>
      <c r="S34"/>
      <c r="T34"/>
      <c r="U34"/>
    </row>
    <row r="35" spans="12:21" x14ac:dyDescent="0.25">
      <c r="L35"/>
      <c r="M35"/>
      <c r="N35"/>
      <c r="O35"/>
      <c r="P35"/>
      <c r="Q35"/>
      <c r="R35"/>
      <c r="S35"/>
      <c r="T35"/>
      <c r="U35"/>
    </row>
    <row r="36" spans="12:21" x14ac:dyDescent="0.25">
      <c r="L36"/>
      <c r="M36"/>
      <c r="N36"/>
      <c r="O36"/>
      <c r="P36"/>
      <c r="Q36"/>
      <c r="R36"/>
      <c r="S36"/>
      <c r="T36"/>
      <c r="U36"/>
    </row>
    <row r="37" spans="12:21" x14ac:dyDescent="0.25">
      <c r="L37"/>
      <c r="M37"/>
      <c r="N37"/>
      <c r="O37"/>
      <c r="P37"/>
      <c r="Q37"/>
      <c r="R37"/>
      <c r="S37"/>
      <c r="T37"/>
      <c r="U37"/>
    </row>
    <row r="38" spans="12:21" x14ac:dyDescent="0.25">
      <c r="L38"/>
      <c r="M38"/>
      <c r="N38"/>
      <c r="O38"/>
      <c r="P38"/>
      <c r="Q38"/>
      <c r="R38"/>
      <c r="S38"/>
      <c r="T38"/>
      <c r="U38"/>
    </row>
    <row r="39" spans="12:21" x14ac:dyDescent="0.25">
      <c r="L39"/>
      <c r="M39"/>
      <c r="N39"/>
      <c r="O39"/>
      <c r="P39"/>
      <c r="Q39"/>
      <c r="R39"/>
      <c r="S39"/>
      <c r="T39"/>
      <c r="U39"/>
    </row>
    <row r="40" spans="12:21" x14ac:dyDescent="0.25">
      <c r="L40"/>
      <c r="M40"/>
      <c r="N40"/>
      <c r="O40"/>
      <c r="P40"/>
      <c r="Q40"/>
      <c r="R40"/>
      <c r="S40"/>
      <c r="T40"/>
      <c r="U40"/>
    </row>
    <row r="41" spans="12:21" x14ac:dyDescent="0.25">
      <c r="L41"/>
      <c r="M41"/>
      <c r="N41"/>
      <c r="O41"/>
      <c r="P41"/>
      <c r="Q41"/>
      <c r="R41"/>
      <c r="S41"/>
      <c r="T41"/>
      <c r="U41"/>
    </row>
    <row r="42" spans="12:21" x14ac:dyDescent="0.25">
      <c r="L42"/>
      <c r="M42"/>
      <c r="N42"/>
      <c r="O42"/>
      <c r="P42"/>
      <c r="Q42"/>
      <c r="R42"/>
      <c r="S42"/>
      <c r="T42"/>
      <c r="U42"/>
    </row>
    <row r="43" spans="12:21" x14ac:dyDescent="0.25">
      <c r="L43"/>
      <c r="M43"/>
      <c r="N43"/>
      <c r="O43"/>
      <c r="P43"/>
      <c r="Q43"/>
      <c r="R43"/>
      <c r="S43"/>
      <c r="T43"/>
      <c r="U43"/>
    </row>
    <row r="44" spans="12:21" x14ac:dyDescent="0.25">
      <c r="L44"/>
      <c r="M44"/>
      <c r="N44"/>
      <c r="O44"/>
      <c r="P44"/>
      <c r="Q44"/>
      <c r="R44"/>
      <c r="S44"/>
      <c r="T44"/>
      <c r="U44"/>
    </row>
    <row r="45" spans="12:21" x14ac:dyDescent="0.25">
      <c r="L45"/>
      <c r="M45"/>
      <c r="N45"/>
      <c r="O45"/>
      <c r="P45"/>
      <c r="Q45"/>
      <c r="R45"/>
      <c r="S45"/>
      <c r="T45"/>
      <c r="U45"/>
    </row>
    <row r="46" spans="12:21" x14ac:dyDescent="0.25">
      <c r="L46"/>
      <c r="M46"/>
      <c r="N46"/>
      <c r="O46"/>
      <c r="P46"/>
      <c r="Q46"/>
      <c r="R46"/>
      <c r="S46"/>
      <c r="T46"/>
      <c r="U46"/>
    </row>
    <row r="47" spans="12:21" x14ac:dyDescent="0.25">
      <c r="L47"/>
      <c r="M47"/>
      <c r="N47"/>
      <c r="O47"/>
      <c r="P47"/>
      <c r="Q47"/>
      <c r="R47"/>
      <c r="S47"/>
      <c r="T47"/>
      <c r="U47"/>
    </row>
    <row r="48" spans="12:21" x14ac:dyDescent="0.25">
      <c r="L48"/>
      <c r="M48"/>
      <c r="N48"/>
      <c r="O48"/>
      <c r="P48"/>
      <c r="Q48"/>
      <c r="R48"/>
      <c r="S48"/>
      <c r="T48"/>
      <c r="U48"/>
    </row>
    <row r="49" spans="12:21" x14ac:dyDescent="0.25">
      <c r="L49"/>
      <c r="M49"/>
      <c r="N49"/>
      <c r="O49"/>
      <c r="P49"/>
      <c r="Q49"/>
      <c r="R49"/>
      <c r="S49"/>
      <c r="T49"/>
      <c r="U49"/>
    </row>
    <row r="50" spans="12:21" x14ac:dyDescent="0.25">
      <c r="L50"/>
      <c r="M50"/>
      <c r="N50"/>
      <c r="O50"/>
      <c r="P50"/>
      <c r="Q50"/>
      <c r="R50"/>
      <c r="S50"/>
      <c r="T50"/>
      <c r="U50"/>
    </row>
    <row r="51" spans="12:21" x14ac:dyDescent="0.25">
      <c r="L51"/>
      <c r="M51"/>
      <c r="N51"/>
      <c r="O51"/>
      <c r="P51"/>
      <c r="Q51"/>
      <c r="R51"/>
      <c r="S51"/>
      <c r="T51"/>
      <c r="U51"/>
    </row>
    <row r="52" spans="12:21" x14ac:dyDescent="0.25">
      <c r="L52"/>
      <c r="M52"/>
      <c r="N52"/>
      <c r="O52"/>
      <c r="P52"/>
      <c r="Q52"/>
      <c r="R52"/>
      <c r="S52"/>
      <c r="T52"/>
      <c r="U52"/>
    </row>
    <row r="53" spans="12:21" x14ac:dyDescent="0.25">
      <c r="L53"/>
      <c r="M53"/>
      <c r="N53"/>
      <c r="O53"/>
      <c r="P53"/>
      <c r="Q53"/>
      <c r="R53"/>
      <c r="S53"/>
      <c r="T53"/>
      <c r="U53"/>
    </row>
    <row r="54" spans="12:21" x14ac:dyDescent="0.25">
      <c r="L54"/>
      <c r="M54"/>
      <c r="N54"/>
      <c r="O54"/>
      <c r="P54"/>
      <c r="Q54"/>
      <c r="R54"/>
      <c r="S54"/>
      <c r="T54"/>
      <c r="U54"/>
    </row>
    <row r="55" spans="12:21" x14ac:dyDescent="0.25">
      <c r="L55"/>
      <c r="M55"/>
      <c r="N55"/>
      <c r="O55"/>
      <c r="P55"/>
      <c r="Q55"/>
      <c r="R55"/>
      <c r="S55"/>
      <c r="T55"/>
      <c r="U55"/>
    </row>
    <row r="56" spans="12:21" x14ac:dyDescent="0.25">
      <c r="L56"/>
      <c r="M56"/>
      <c r="N56"/>
      <c r="O56"/>
      <c r="P56"/>
      <c r="Q56"/>
      <c r="R56"/>
      <c r="S56"/>
      <c r="T56"/>
      <c r="U56"/>
    </row>
    <row r="57" spans="12:21" x14ac:dyDescent="0.25">
      <c r="L57"/>
      <c r="M57"/>
      <c r="N57"/>
      <c r="O57"/>
      <c r="P57"/>
      <c r="Q57"/>
      <c r="R57"/>
      <c r="S57"/>
      <c r="T57"/>
      <c r="U57"/>
    </row>
    <row r="58" spans="12:21" x14ac:dyDescent="0.25">
      <c r="L58"/>
      <c r="M58"/>
      <c r="N58"/>
      <c r="O58"/>
      <c r="P58"/>
      <c r="Q58"/>
      <c r="R58"/>
      <c r="S58"/>
      <c r="T58"/>
      <c r="U58"/>
    </row>
    <row r="59" spans="12:21" x14ac:dyDescent="0.25">
      <c r="L59"/>
      <c r="M59"/>
      <c r="N59"/>
      <c r="O59"/>
      <c r="P59"/>
      <c r="Q59"/>
      <c r="R59"/>
      <c r="S59"/>
      <c r="T59"/>
      <c r="U59"/>
    </row>
    <row r="60" spans="12:21" x14ac:dyDescent="0.25">
      <c r="L60"/>
      <c r="M60"/>
      <c r="N60"/>
      <c r="O60"/>
      <c r="P60"/>
      <c r="Q60"/>
      <c r="R60"/>
      <c r="S60"/>
      <c r="T60"/>
      <c r="U60"/>
    </row>
    <row r="61" spans="12:21" x14ac:dyDescent="0.25">
      <c r="L61"/>
      <c r="M61"/>
      <c r="N61"/>
      <c r="O61"/>
      <c r="P61"/>
      <c r="Q61"/>
      <c r="R61"/>
      <c r="S61"/>
      <c r="T61"/>
      <c r="U61"/>
    </row>
    <row r="62" spans="12:21" x14ac:dyDescent="0.25">
      <c r="L62"/>
      <c r="M62"/>
      <c r="N62"/>
      <c r="O62"/>
      <c r="P62"/>
      <c r="Q62"/>
      <c r="R62"/>
      <c r="S62"/>
      <c r="T62"/>
      <c r="U62"/>
    </row>
    <row r="63" spans="12:21" x14ac:dyDescent="0.25">
      <c r="L63"/>
      <c r="M63"/>
      <c r="N63"/>
      <c r="O63"/>
      <c r="P63"/>
      <c r="Q63"/>
      <c r="R63"/>
      <c r="S63"/>
      <c r="T63"/>
      <c r="U63"/>
    </row>
    <row r="64" spans="12:21" x14ac:dyDescent="0.25">
      <c r="L64"/>
      <c r="M64"/>
      <c r="N64"/>
      <c r="O64"/>
      <c r="P64"/>
      <c r="Q64"/>
      <c r="R64"/>
      <c r="S64"/>
      <c r="T64"/>
      <c r="U64"/>
    </row>
    <row r="65" spans="12:21" x14ac:dyDescent="0.25">
      <c r="L65"/>
      <c r="M65"/>
      <c r="N65"/>
      <c r="O65"/>
      <c r="P65"/>
      <c r="Q65"/>
      <c r="R65"/>
      <c r="S65"/>
      <c r="T65"/>
      <c r="U65"/>
    </row>
    <row r="66" spans="12:21" x14ac:dyDescent="0.25">
      <c r="L66"/>
      <c r="M66"/>
      <c r="N66"/>
      <c r="O66"/>
      <c r="P66"/>
      <c r="Q66"/>
      <c r="R66"/>
      <c r="S66"/>
      <c r="T66"/>
      <c r="U66"/>
    </row>
    <row r="67" spans="12:21" x14ac:dyDescent="0.25">
      <c r="L67"/>
      <c r="M67"/>
      <c r="N67"/>
      <c r="O67"/>
      <c r="P67"/>
      <c r="Q67"/>
      <c r="R67"/>
      <c r="S67"/>
      <c r="T67"/>
      <c r="U67"/>
    </row>
    <row r="68" spans="12:21" x14ac:dyDescent="0.25">
      <c r="L68"/>
      <c r="M68"/>
      <c r="N68"/>
      <c r="O68"/>
      <c r="P68"/>
      <c r="Q68"/>
      <c r="R68"/>
      <c r="S68"/>
      <c r="T68"/>
      <c r="U68"/>
    </row>
    <row r="69" spans="12:21" x14ac:dyDescent="0.25">
      <c r="L69"/>
      <c r="M69"/>
      <c r="N69"/>
      <c r="O69"/>
      <c r="P69"/>
      <c r="Q69"/>
      <c r="R69"/>
      <c r="S69"/>
      <c r="T69"/>
      <c r="U69"/>
    </row>
    <row r="70" spans="12:21" x14ac:dyDescent="0.25">
      <c r="L70"/>
      <c r="M70"/>
      <c r="N70"/>
      <c r="O70"/>
      <c r="P70"/>
      <c r="Q70"/>
      <c r="R70"/>
      <c r="S70"/>
      <c r="T70"/>
      <c r="U70"/>
    </row>
    <row r="71" spans="12:21" x14ac:dyDescent="0.25">
      <c r="L71"/>
      <c r="M71"/>
      <c r="N71"/>
      <c r="O71"/>
      <c r="P71"/>
      <c r="Q71"/>
      <c r="R71"/>
      <c r="S71"/>
      <c r="T71"/>
      <c r="U71"/>
    </row>
    <row r="72" spans="12:21" x14ac:dyDescent="0.25">
      <c r="L72"/>
      <c r="M72"/>
      <c r="N72"/>
      <c r="O72"/>
      <c r="P72"/>
      <c r="Q72"/>
      <c r="R72"/>
      <c r="S72"/>
      <c r="T72"/>
      <c r="U72"/>
    </row>
    <row r="73" spans="12:21" x14ac:dyDescent="0.25">
      <c r="L73"/>
      <c r="M73"/>
      <c r="N73"/>
      <c r="O73"/>
      <c r="P73"/>
      <c r="Q73"/>
      <c r="R73"/>
      <c r="S73"/>
      <c r="T73"/>
      <c r="U73"/>
    </row>
    <row r="74" spans="12:21" x14ac:dyDescent="0.25">
      <c r="L74"/>
      <c r="M74"/>
      <c r="N74"/>
      <c r="O74"/>
      <c r="P74"/>
      <c r="Q74"/>
      <c r="R74"/>
      <c r="S74"/>
      <c r="T74"/>
      <c r="U74"/>
    </row>
    <row r="75" spans="12:21" x14ac:dyDescent="0.25">
      <c r="L75"/>
      <c r="M75"/>
      <c r="N75"/>
      <c r="O75"/>
      <c r="P75"/>
      <c r="Q75"/>
      <c r="R75"/>
      <c r="S75"/>
      <c r="T75"/>
      <c r="U75"/>
    </row>
    <row r="76" spans="12:21" x14ac:dyDescent="0.25">
      <c r="L76"/>
      <c r="M76"/>
      <c r="N76"/>
      <c r="O76"/>
      <c r="P76"/>
      <c r="Q76"/>
      <c r="R76"/>
      <c r="S76"/>
      <c r="T76"/>
      <c r="U76"/>
    </row>
    <row r="77" spans="12:21" x14ac:dyDescent="0.25">
      <c r="L77"/>
      <c r="M77"/>
      <c r="N77"/>
      <c r="O77"/>
      <c r="P77"/>
      <c r="Q77"/>
      <c r="R77"/>
      <c r="S77"/>
      <c r="T77"/>
      <c r="U77"/>
    </row>
    <row r="78" spans="12:21" x14ac:dyDescent="0.25">
      <c r="L78"/>
      <c r="M78"/>
      <c r="N78"/>
      <c r="O78"/>
      <c r="P78"/>
      <c r="Q78"/>
      <c r="R78"/>
      <c r="S78"/>
      <c r="T78"/>
      <c r="U78"/>
    </row>
    <row r="79" spans="12:21" x14ac:dyDescent="0.25">
      <c r="L79"/>
      <c r="M79"/>
      <c r="N79"/>
      <c r="O79"/>
      <c r="P79"/>
      <c r="Q79"/>
      <c r="R79"/>
      <c r="S79"/>
      <c r="T79"/>
      <c r="U79"/>
    </row>
    <row r="80" spans="12:21" x14ac:dyDescent="0.25">
      <c r="L80"/>
      <c r="M80"/>
      <c r="N80"/>
      <c r="O80"/>
      <c r="P80"/>
      <c r="Q80"/>
      <c r="R80"/>
      <c r="S80"/>
      <c r="T80"/>
      <c r="U80"/>
    </row>
    <row r="81" spans="12:21" x14ac:dyDescent="0.25">
      <c r="L81"/>
      <c r="M81"/>
      <c r="N81"/>
      <c r="O81"/>
      <c r="P81"/>
      <c r="Q81"/>
      <c r="R81"/>
      <c r="S81"/>
      <c r="T81"/>
      <c r="U81"/>
    </row>
    <row r="82" spans="12:21" x14ac:dyDescent="0.25">
      <c r="L82"/>
      <c r="M82"/>
      <c r="N82"/>
      <c r="O82"/>
      <c r="P82"/>
      <c r="Q82"/>
      <c r="R82"/>
      <c r="S82"/>
      <c r="T82"/>
      <c r="U82"/>
    </row>
    <row r="83" spans="12:21" x14ac:dyDescent="0.25">
      <c r="L83"/>
      <c r="M83"/>
      <c r="N83"/>
      <c r="O83"/>
      <c r="P83"/>
      <c r="Q83"/>
      <c r="R83"/>
      <c r="S83"/>
      <c r="T83"/>
      <c r="U83"/>
    </row>
    <row r="84" spans="12:21" x14ac:dyDescent="0.25">
      <c r="L84"/>
      <c r="M84"/>
      <c r="N84"/>
      <c r="O84"/>
      <c r="P84"/>
      <c r="Q84"/>
      <c r="R84"/>
      <c r="S84"/>
      <c r="T84"/>
      <c r="U84"/>
    </row>
    <row r="85" spans="12:21" x14ac:dyDescent="0.25">
      <c r="L85"/>
      <c r="M85"/>
      <c r="N85"/>
      <c r="O85"/>
      <c r="P85"/>
      <c r="Q85"/>
      <c r="R85"/>
      <c r="S85"/>
      <c r="T85"/>
      <c r="U85"/>
    </row>
    <row r="86" spans="12:21" x14ac:dyDescent="0.25">
      <c r="L86"/>
      <c r="M86"/>
      <c r="N86"/>
      <c r="O86"/>
      <c r="P86"/>
      <c r="Q86"/>
      <c r="R86"/>
      <c r="S86"/>
      <c r="T86"/>
      <c r="U86"/>
    </row>
    <row r="87" spans="12:21" x14ac:dyDescent="0.25">
      <c r="L87"/>
      <c r="M87"/>
      <c r="N87"/>
      <c r="O87"/>
      <c r="P87"/>
      <c r="Q87"/>
      <c r="R87"/>
      <c r="S87"/>
      <c r="T87"/>
      <c r="U87"/>
    </row>
    <row r="88" spans="12:21" x14ac:dyDescent="0.25">
      <c r="L88"/>
      <c r="M88"/>
      <c r="N88"/>
      <c r="O88"/>
      <c r="P88"/>
      <c r="Q88"/>
      <c r="R88"/>
      <c r="S88"/>
      <c r="T88"/>
      <c r="U88"/>
    </row>
    <row r="89" spans="12:21" x14ac:dyDescent="0.25">
      <c r="L89"/>
      <c r="M89"/>
      <c r="N89"/>
      <c r="O89"/>
      <c r="P89"/>
      <c r="Q89"/>
      <c r="R89"/>
      <c r="S89"/>
      <c r="T89"/>
      <c r="U89"/>
    </row>
    <row r="90" spans="12:21" x14ac:dyDescent="0.25">
      <c r="L90"/>
      <c r="M90"/>
      <c r="N90"/>
      <c r="O90"/>
      <c r="P90"/>
      <c r="Q90"/>
      <c r="R90"/>
      <c r="S90"/>
      <c r="T90"/>
      <c r="U90"/>
    </row>
    <row r="91" spans="12:21" x14ac:dyDescent="0.25">
      <c r="L91"/>
      <c r="M91"/>
      <c r="N91"/>
      <c r="O91"/>
      <c r="P91"/>
      <c r="Q91"/>
      <c r="R91"/>
      <c r="S91"/>
      <c r="T91"/>
      <c r="U91"/>
    </row>
    <row r="92" spans="12:21" x14ac:dyDescent="0.25">
      <c r="L92"/>
      <c r="M92"/>
      <c r="N92"/>
      <c r="O92"/>
      <c r="P92"/>
      <c r="Q92"/>
      <c r="R92"/>
      <c r="S92"/>
      <c r="T92"/>
      <c r="U92"/>
    </row>
    <row r="93" spans="12:21" x14ac:dyDescent="0.25">
      <c r="L93"/>
      <c r="M93"/>
      <c r="N93"/>
      <c r="O93"/>
      <c r="P93"/>
      <c r="Q93"/>
      <c r="R93"/>
      <c r="S93"/>
      <c r="T93"/>
      <c r="U93"/>
    </row>
    <row r="94" spans="12:21" x14ac:dyDescent="0.25">
      <c r="L94"/>
      <c r="M94"/>
      <c r="N94"/>
      <c r="O94"/>
      <c r="P94"/>
      <c r="Q94"/>
      <c r="R94"/>
      <c r="S94"/>
      <c r="T94"/>
      <c r="U94"/>
    </row>
    <row r="95" spans="12:21" x14ac:dyDescent="0.25">
      <c r="L95"/>
      <c r="M95"/>
      <c r="N95"/>
      <c r="O95"/>
      <c r="P95"/>
      <c r="Q95"/>
      <c r="R95"/>
      <c r="S95"/>
      <c r="T95"/>
      <c r="U95"/>
    </row>
    <row r="96" spans="12:21" x14ac:dyDescent="0.25">
      <c r="L96"/>
      <c r="M96"/>
      <c r="N96"/>
      <c r="O96"/>
      <c r="P96"/>
      <c r="Q96"/>
      <c r="R96"/>
      <c r="S96"/>
      <c r="T96"/>
      <c r="U96"/>
    </row>
    <row r="97" spans="12:21" x14ac:dyDescent="0.25">
      <c r="L97"/>
      <c r="M97"/>
      <c r="N97"/>
      <c r="O97"/>
      <c r="P97"/>
      <c r="Q97"/>
      <c r="R97"/>
      <c r="S97"/>
      <c r="T97"/>
      <c r="U97"/>
    </row>
    <row r="98" spans="12:21" x14ac:dyDescent="0.25">
      <c r="L98"/>
      <c r="M98"/>
      <c r="N98"/>
      <c r="O98"/>
      <c r="P98"/>
      <c r="Q98"/>
      <c r="R98"/>
      <c r="S98"/>
      <c r="T98"/>
      <c r="U98"/>
    </row>
    <row r="99" spans="12:21" x14ac:dyDescent="0.25">
      <c r="L99"/>
      <c r="M99"/>
      <c r="N99"/>
      <c r="O99"/>
      <c r="P99"/>
      <c r="Q99"/>
      <c r="R99"/>
      <c r="S99"/>
      <c r="T99"/>
      <c r="U99"/>
    </row>
    <row r="100" spans="12:21" x14ac:dyDescent="0.25">
      <c r="L100"/>
      <c r="M100"/>
      <c r="N100"/>
      <c r="O100"/>
      <c r="P100"/>
      <c r="Q100"/>
      <c r="R100"/>
      <c r="S100"/>
      <c r="T100"/>
      <c r="U100"/>
    </row>
    <row r="101" spans="12:21" x14ac:dyDescent="0.25">
      <c r="L101"/>
      <c r="M101"/>
      <c r="N101"/>
      <c r="O101"/>
      <c r="P101"/>
      <c r="Q101"/>
      <c r="R101"/>
      <c r="S101"/>
      <c r="T101"/>
      <c r="U101"/>
    </row>
    <row r="102" spans="12:21" x14ac:dyDescent="0.25">
      <c r="L102"/>
      <c r="M102"/>
      <c r="N102"/>
      <c r="O102"/>
      <c r="P102"/>
      <c r="Q102"/>
      <c r="R102"/>
      <c r="S102"/>
      <c r="T102"/>
      <c r="U102"/>
    </row>
    <row r="103" spans="12:21" x14ac:dyDescent="0.25">
      <c r="L103"/>
      <c r="M103"/>
      <c r="N103"/>
      <c r="O103"/>
      <c r="P103"/>
      <c r="Q103"/>
      <c r="R103"/>
      <c r="S103"/>
      <c r="T103"/>
      <c r="U103"/>
    </row>
    <row r="104" spans="12:21" x14ac:dyDescent="0.25">
      <c r="L104"/>
      <c r="M104"/>
      <c r="N104"/>
      <c r="O104"/>
      <c r="P104"/>
      <c r="Q104"/>
      <c r="R104"/>
      <c r="S104"/>
      <c r="T104"/>
      <c r="U104"/>
    </row>
    <row r="105" spans="12:21" x14ac:dyDescent="0.25">
      <c r="L105"/>
      <c r="M105"/>
      <c r="N105"/>
      <c r="O105"/>
      <c r="P105"/>
      <c r="Q105"/>
      <c r="R105"/>
      <c r="S105"/>
      <c r="T105"/>
      <c r="U105"/>
    </row>
    <row r="106" spans="12:21" x14ac:dyDescent="0.25">
      <c r="L106"/>
      <c r="M106"/>
      <c r="N106"/>
      <c r="O106"/>
      <c r="P106"/>
      <c r="Q106"/>
      <c r="R106"/>
      <c r="S106"/>
      <c r="T106"/>
      <c r="U106"/>
    </row>
    <row r="107" spans="12:21" x14ac:dyDescent="0.25">
      <c r="L107"/>
      <c r="M107"/>
      <c r="N107"/>
      <c r="O107"/>
      <c r="P107"/>
      <c r="Q107"/>
      <c r="R107"/>
      <c r="S107"/>
      <c r="T107"/>
      <c r="U107"/>
    </row>
    <row r="108" spans="12:21" x14ac:dyDescent="0.25">
      <c r="L108"/>
      <c r="M108"/>
      <c r="N108"/>
      <c r="O108"/>
      <c r="P108"/>
      <c r="Q108"/>
      <c r="R108"/>
      <c r="S108"/>
      <c r="T108"/>
      <c r="U108"/>
    </row>
    <row r="109" spans="12:21" x14ac:dyDescent="0.25">
      <c r="L109"/>
      <c r="M109"/>
      <c r="N109"/>
      <c r="O109"/>
      <c r="P109"/>
      <c r="Q109"/>
      <c r="R109"/>
      <c r="S109"/>
      <c r="T109"/>
      <c r="U109"/>
    </row>
    <row r="110" spans="12:21" x14ac:dyDescent="0.25">
      <c r="L110"/>
      <c r="M110"/>
      <c r="N110"/>
      <c r="O110"/>
      <c r="P110"/>
      <c r="Q110"/>
      <c r="R110"/>
      <c r="S110"/>
      <c r="T110"/>
      <c r="U110"/>
    </row>
    <row r="111" spans="12:21" x14ac:dyDescent="0.25">
      <c r="L111"/>
      <c r="M111"/>
      <c r="N111"/>
      <c r="O111"/>
      <c r="P111"/>
      <c r="Q111"/>
      <c r="R111"/>
      <c r="S111"/>
      <c r="T111"/>
      <c r="U111"/>
    </row>
    <row r="112" spans="12:21" x14ac:dyDescent="0.25">
      <c r="L112"/>
      <c r="M112"/>
      <c r="N112"/>
      <c r="O112"/>
      <c r="P112"/>
      <c r="Q112"/>
      <c r="R112"/>
      <c r="S112"/>
      <c r="T112"/>
      <c r="U112"/>
    </row>
    <row r="113" spans="12:21" x14ac:dyDescent="0.25">
      <c r="L113"/>
      <c r="M113"/>
      <c r="N113"/>
      <c r="O113"/>
      <c r="P113"/>
      <c r="Q113"/>
      <c r="R113"/>
      <c r="S113"/>
      <c r="T113"/>
      <c r="U113"/>
    </row>
    <row r="114" spans="12:21" x14ac:dyDescent="0.25">
      <c r="L114"/>
      <c r="M114"/>
      <c r="N114"/>
      <c r="O114"/>
      <c r="P114"/>
      <c r="Q114"/>
      <c r="R114"/>
      <c r="S114"/>
      <c r="T114"/>
      <c r="U114"/>
    </row>
    <row r="115" spans="12:21" x14ac:dyDescent="0.25">
      <c r="L115"/>
      <c r="M115"/>
      <c r="N115"/>
      <c r="O115"/>
      <c r="P115"/>
      <c r="Q115"/>
      <c r="R115"/>
      <c r="S115"/>
      <c r="T115"/>
      <c r="U115"/>
    </row>
    <row r="116" spans="12:21" x14ac:dyDescent="0.25">
      <c r="L116"/>
      <c r="M116"/>
      <c r="N116"/>
      <c r="O116"/>
      <c r="P116"/>
      <c r="Q116"/>
      <c r="R116"/>
      <c r="S116"/>
      <c r="T116"/>
      <c r="U116"/>
    </row>
    <row r="117" spans="12:21" x14ac:dyDescent="0.25">
      <c r="L117"/>
      <c r="M117"/>
      <c r="N117"/>
      <c r="O117"/>
      <c r="P117"/>
      <c r="Q117"/>
      <c r="R117"/>
      <c r="S117"/>
      <c r="T117"/>
      <c r="U117"/>
    </row>
    <row r="118" spans="12:21" x14ac:dyDescent="0.25">
      <c r="L118"/>
      <c r="M118"/>
      <c r="N118"/>
      <c r="O118"/>
      <c r="P118"/>
      <c r="Q118"/>
      <c r="R118"/>
      <c r="S118"/>
      <c r="T118"/>
      <c r="U118"/>
    </row>
    <row r="119" spans="12:21" x14ac:dyDescent="0.25">
      <c r="L119"/>
      <c r="M119"/>
      <c r="N119"/>
      <c r="O119"/>
      <c r="P119"/>
      <c r="Q119"/>
      <c r="R119"/>
      <c r="S119"/>
      <c r="T119"/>
      <c r="U119"/>
    </row>
    <row r="120" spans="12:21" x14ac:dyDescent="0.25">
      <c r="L120"/>
      <c r="M120"/>
      <c r="N120"/>
      <c r="O120"/>
      <c r="P120"/>
      <c r="Q120"/>
      <c r="R120"/>
      <c r="S120"/>
      <c r="T120"/>
      <c r="U120"/>
    </row>
    <row r="121" spans="12:21" x14ac:dyDescent="0.25">
      <c r="L121"/>
      <c r="M121"/>
      <c r="N121"/>
      <c r="O121"/>
      <c r="P121"/>
      <c r="Q121"/>
      <c r="R121"/>
      <c r="S121"/>
      <c r="T121"/>
      <c r="U121"/>
    </row>
    <row r="122" spans="12:21" x14ac:dyDescent="0.25">
      <c r="L122"/>
      <c r="M122"/>
      <c r="N122"/>
      <c r="O122"/>
      <c r="P122"/>
      <c r="Q122"/>
      <c r="R122"/>
      <c r="S122"/>
      <c r="T122"/>
      <c r="U122"/>
    </row>
    <row r="123" spans="12:21" x14ac:dyDescent="0.25">
      <c r="L123"/>
      <c r="M123"/>
      <c r="N123"/>
      <c r="O123"/>
      <c r="P123"/>
      <c r="Q123"/>
      <c r="R123"/>
      <c r="S123"/>
      <c r="T123"/>
      <c r="U123"/>
    </row>
    <row r="124" spans="12:21" x14ac:dyDescent="0.25">
      <c r="L124"/>
      <c r="M124"/>
      <c r="N124"/>
      <c r="O124"/>
      <c r="P124"/>
      <c r="Q124"/>
      <c r="R124"/>
      <c r="S124"/>
      <c r="T124"/>
      <c r="U124"/>
    </row>
    <row r="125" spans="12:21" x14ac:dyDescent="0.25">
      <c r="L125"/>
      <c r="M125"/>
      <c r="N125"/>
      <c r="O125"/>
      <c r="P125"/>
      <c r="Q125"/>
      <c r="R125"/>
      <c r="S125"/>
      <c r="T125"/>
      <c r="U125"/>
    </row>
    <row r="126" spans="12:21" x14ac:dyDescent="0.25">
      <c r="L126"/>
      <c r="M126"/>
      <c r="N126"/>
      <c r="O126"/>
      <c r="P126"/>
      <c r="Q126"/>
      <c r="R126"/>
      <c r="S126"/>
      <c r="T126"/>
      <c r="U126"/>
    </row>
    <row r="127" spans="12:21" x14ac:dyDescent="0.25">
      <c r="L127"/>
      <c r="M127"/>
      <c r="N127"/>
      <c r="O127"/>
      <c r="P127"/>
      <c r="Q127"/>
      <c r="R127"/>
      <c r="S127"/>
      <c r="T127"/>
      <c r="U127"/>
    </row>
    <row r="128" spans="12:21" x14ac:dyDescent="0.25">
      <c r="L128"/>
      <c r="M128"/>
      <c r="N128"/>
      <c r="O128"/>
      <c r="P128"/>
      <c r="Q128"/>
      <c r="R128"/>
      <c r="S128"/>
      <c r="T128"/>
      <c r="U128"/>
    </row>
    <row r="129" spans="12:21" x14ac:dyDescent="0.25">
      <c r="L129"/>
      <c r="M129"/>
      <c r="N129"/>
      <c r="O129"/>
      <c r="P129"/>
      <c r="Q129"/>
      <c r="R129"/>
      <c r="S129"/>
      <c r="T129"/>
      <c r="U129"/>
    </row>
    <row r="130" spans="12:21" x14ac:dyDescent="0.25">
      <c r="L130"/>
      <c r="M130"/>
      <c r="N130"/>
      <c r="O130"/>
      <c r="P130"/>
      <c r="Q130"/>
      <c r="R130"/>
      <c r="S130"/>
      <c r="T130"/>
      <c r="U130"/>
    </row>
    <row r="131" spans="12:21" x14ac:dyDescent="0.25">
      <c r="L131"/>
      <c r="M131"/>
      <c r="N131"/>
      <c r="O131"/>
      <c r="P131"/>
      <c r="Q131"/>
      <c r="R131"/>
      <c r="S131"/>
      <c r="T131"/>
      <c r="U131"/>
    </row>
    <row r="132" spans="12:21" x14ac:dyDescent="0.25">
      <c r="L132"/>
      <c r="M132"/>
      <c r="N132"/>
      <c r="O132"/>
      <c r="P132"/>
      <c r="Q132"/>
      <c r="R132"/>
      <c r="S132"/>
      <c r="T132"/>
      <c r="U132"/>
    </row>
    <row r="133" spans="12:21" x14ac:dyDescent="0.25">
      <c r="L133"/>
      <c r="M133"/>
      <c r="N133"/>
      <c r="O133"/>
      <c r="P133"/>
      <c r="Q133"/>
      <c r="R133"/>
      <c r="S133"/>
      <c r="T133"/>
      <c r="U133"/>
    </row>
    <row r="134" spans="12:21" x14ac:dyDescent="0.25">
      <c r="L134"/>
      <c r="M134"/>
      <c r="N134"/>
      <c r="O134"/>
      <c r="P134"/>
      <c r="Q134"/>
      <c r="R134"/>
      <c r="S134"/>
      <c r="T134"/>
      <c r="U134"/>
    </row>
    <row r="135" spans="12:21" x14ac:dyDescent="0.25">
      <c r="L135"/>
      <c r="M135"/>
      <c r="N135"/>
      <c r="O135"/>
      <c r="P135"/>
      <c r="Q135"/>
      <c r="R135"/>
      <c r="S135"/>
      <c r="T135"/>
      <c r="U135"/>
    </row>
    <row r="136" spans="12:21" x14ac:dyDescent="0.25">
      <c r="L136"/>
      <c r="M136"/>
      <c r="N136"/>
      <c r="O136"/>
      <c r="P136"/>
      <c r="Q136"/>
      <c r="R136"/>
      <c r="S136"/>
      <c r="T136"/>
      <c r="U136"/>
    </row>
    <row r="137" spans="12:21" x14ac:dyDescent="0.25">
      <c r="L137"/>
      <c r="M137"/>
      <c r="N137"/>
      <c r="O137"/>
      <c r="P137"/>
      <c r="Q137"/>
      <c r="R137"/>
      <c r="S137"/>
      <c r="T137"/>
      <c r="U137"/>
    </row>
    <row r="138" spans="12:21" x14ac:dyDescent="0.25">
      <c r="L138"/>
      <c r="M138"/>
      <c r="N138"/>
      <c r="O138"/>
      <c r="P138"/>
      <c r="Q138"/>
      <c r="R138"/>
      <c r="S138"/>
      <c r="T138"/>
      <c r="U138"/>
    </row>
    <row r="139" spans="12:21" x14ac:dyDescent="0.25">
      <c r="L139"/>
      <c r="M139"/>
      <c r="N139"/>
      <c r="O139"/>
      <c r="P139"/>
      <c r="Q139"/>
      <c r="R139"/>
      <c r="S139"/>
      <c r="T139"/>
      <c r="U139"/>
    </row>
    <row r="140" spans="12:21" x14ac:dyDescent="0.25">
      <c r="L140"/>
      <c r="M140"/>
      <c r="N140"/>
      <c r="O140"/>
      <c r="P140"/>
      <c r="Q140"/>
      <c r="R140"/>
      <c r="S140"/>
      <c r="T140"/>
      <c r="U140"/>
    </row>
    <row r="141" spans="12:21" x14ac:dyDescent="0.25">
      <c r="L141"/>
      <c r="M141"/>
      <c r="N141"/>
      <c r="O141"/>
      <c r="P141"/>
      <c r="Q141"/>
      <c r="R141"/>
      <c r="S141"/>
      <c r="T141"/>
      <c r="U141"/>
    </row>
    <row r="142" spans="12:21" x14ac:dyDescent="0.25">
      <c r="L142"/>
      <c r="M142"/>
      <c r="N142"/>
      <c r="O142"/>
      <c r="P142"/>
      <c r="Q142"/>
      <c r="R142"/>
      <c r="S142"/>
      <c r="T142"/>
      <c r="U142"/>
    </row>
    <row r="143" spans="12:21" x14ac:dyDescent="0.25">
      <c r="L143"/>
      <c r="M143"/>
      <c r="N143"/>
      <c r="O143"/>
      <c r="P143"/>
      <c r="Q143"/>
      <c r="R143"/>
      <c r="S143"/>
      <c r="T143"/>
      <c r="U143"/>
    </row>
    <row r="144" spans="12:21" x14ac:dyDescent="0.25">
      <c r="L144"/>
      <c r="M144"/>
      <c r="N144"/>
      <c r="O144"/>
      <c r="P144"/>
      <c r="Q144"/>
      <c r="R144"/>
      <c r="S144"/>
      <c r="T144"/>
      <c r="U144"/>
    </row>
    <row r="145" spans="12:21" x14ac:dyDescent="0.25">
      <c r="L145"/>
      <c r="M145"/>
      <c r="N145"/>
      <c r="O145"/>
      <c r="P145"/>
      <c r="Q145"/>
      <c r="R145"/>
      <c r="S145"/>
      <c r="T145"/>
      <c r="U145"/>
    </row>
    <row r="146" spans="12:21" x14ac:dyDescent="0.25">
      <c r="L146"/>
      <c r="M146"/>
      <c r="N146"/>
      <c r="O146"/>
      <c r="P146"/>
      <c r="Q146"/>
      <c r="R146"/>
      <c r="S146"/>
      <c r="T146"/>
      <c r="U146"/>
    </row>
    <row r="147" spans="12:21" x14ac:dyDescent="0.25">
      <c r="L147"/>
      <c r="M147"/>
      <c r="N147"/>
      <c r="O147"/>
      <c r="P147"/>
      <c r="Q147"/>
      <c r="R147"/>
      <c r="S147"/>
      <c r="T147"/>
      <c r="U147"/>
    </row>
    <row r="148" spans="12:21" x14ac:dyDescent="0.25">
      <c r="L148"/>
      <c r="M148"/>
      <c r="N148"/>
      <c r="O148"/>
      <c r="P148"/>
      <c r="Q148"/>
      <c r="R148"/>
      <c r="S148"/>
      <c r="T148"/>
      <c r="U148"/>
    </row>
    <row r="149" spans="12:21" x14ac:dyDescent="0.25">
      <c r="L149"/>
      <c r="M149"/>
      <c r="N149"/>
      <c r="O149"/>
      <c r="P149"/>
      <c r="Q149"/>
      <c r="R149"/>
      <c r="S149"/>
      <c r="T149"/>
      <c r="U149"/>
    </row>
    <row r="150" spans="12:21" x14ac:dyDescent="0.25">
      <c r="L150"/>
      <c r="M150"/>
      <c r="N150"/>
      <c r="O150"/>
      <c r="P150"/>
      <c r="Q150"/>
      <c r="R150"/>
      <c r="S150"/>
      <c r="T150"/>
      <c r="U150"/>
    </row>
    <row r="151" spans="12:21" x14ac:dyDescent="0.25">
      <c r="L151"/>
      <c r="M151"/>
      <c r="N151"/>
      <c r="O151"/>
      <c r="P151"/>
      <c r="Q151"/>
      <c r="R151"/>
      <c r="S151"/>
      <c r="T151"/>
      <c r="U151"/>
    </row>
    <row r="152" spans="12:21" x14ac:dyDescent="0.25">
      <c r="L152"/>
      <c r="M152"/>
      <c r="N152"/>
      <c r="O152"/>
      <c r="P152"/>
      <c r="Q152"/>
      <c r="R152"/>
      <c r="S152"/>
      <c r="T152"/>
      <c r="U152"/>
    </row>
    <row r="153" spans="12:21" x14ac:dyDescent="0.25">
      <c r="L153"/>
      <c r="M153"/>
      <c r="N153"/>
      <c r="O153"/>
      <c r="P153"/>
      <c r="Q153"/>
      <c r="R153"/>
      <c r="S153"/>
      <c r="T153"/>
      <c r="U153"/>
    </row>
    <row r="154" spans="12:21" x14ac:dyDescent="0.25">
      <c r="L154"/>
      <c r="M154"/>
      <c r="N154"/>
      <c r="O154"/>
      <c r="P154"/>
      <c r="Q154"/>
      <c r="R154"/>
      <c r="S154"/>
      <c r="T154"/>
      <c r="U154"/>
    </row>
    <row r="155" spans="12:21" x14ac:dyDescent="0.25">
      <c r="L155"/>
      <c r="M155"/>
      <c r="N155"/>
      <c r="O155"/>
      <c r="P155"/>
      <c r="Q155"/>
      <c r="R155"/>
      <c r="S155"/>
      <c r="T155"/>
      <c r="U155"/>
    </row>
    <row r="156" spans="12:21" x14ac:dyDescent="0.25">
      <c r="L156"/>
      <c r="M156"/>
      <c r="N156"/>
      <c r="O156"/>
      <c r="P156"/>
      <c r="Q156"/>
      <c r="R156"/>
      <c r="S156"/>
      <c r="T156"/>
      <c r="U156"/>
    </row>
    <row r="157" spans="12:21" x14ac:dyDescent="0.25">
      <c r="L157"/>
      <c r="M157"/>
      <c r="N157"/>
      <c r="O157"/>
      <c r="P157"/>
      <c r="Q157"/>
      <c r="R157"/>
      <c r="S157"/>
      <c r="T157"/>
      <c r="U157"/>
    </row>
    <row r="158" spans="12:21" x14ac:dyDescent="0.25">
      <c r="L158"/>
      <c r="M158"/>
      <c r="N158"/>
      <c r="O158"/>
      <c r="P158"/>
      <c r="Q158"/>
      <c r="R158"/>
      <c r="S158"/>
      <c r="T158"/>
      <c r="U158"/>
    </row>
    <row r="159" spans="12:21" x14ac:dyDescent="0.25">
      <c r="L159"/>
      <c r="M159"/>
      <c r="N159"/>
      <c r="O159"/>
      <c r="P159"/>
      <c r="Q159"/>
      <c r="R159"/>
      <c r="S159"/>
      <c r="T159"/>
      <c r="U159"/>
    </row>
    <row r="160" spans="12:21" x14ac:dyDescent="0.25">
      <c r="L160"/>
      <c r="M160"/>
      <c r="N160"/>
      <c r="O160"/>
      <c r="P160"/>
      <c r="Q160"/>
      <c r="R160"/>
      <c r="S160"/>
      <c r="T160"/>
      <c r="U160"/>
    </row>
    <row r="161" spans="12:21" x14ac:dyDescent="0.25">
      <c r="L161"/>
      <c r="M161"/>
      <c r="N161"/>
      <c r="O161"/>
      <c r="P161"/>
      <c r="Q161"/>
      <c r="R161"/>
      <c r="S161"/>
      <c r="T161"/>
      <c r="U161"/>
    </row>
    <row r="162" spans="12:21" x14ac:dyDescent="0.25">
      <c r="L162"/>
      <c r="M162"/>
      <c r="N162"/>
      <c r="O162"/>
      <c r="P162"/>
      <c r="Q162"/>
      <c r="R162"/>
      <c r="S162"/>
      <c r="T162"/>
      <c r="U162"/>
    </row>
    <row r="163" spans="12:21" x14ac:dyDescent="0.25">
      <c r="L163"/>
      <c r="M163"/>
      <c r="N163"/>
      <c r="O163"/>
      <c r="P163"/>
      <c r="Q163"/>
      <c r="R163"/>
      <c r="S163"/>
      <c r="T163"/>
      <c r="U163"/>
    </row>
    <row r="164" spans="12:21" x14ac:dyDescent="0.25">
      <c r="L164"/>
      <c r="M164"/>
      <c r="N164"/>
      <c r="O164"/>
      <c r="P164"/>
      <c r="Q164"/>
      <c r="R164"/>
      <c r="S164"/>
      <c r="T164"/>
      <c r="U164"/>
    </row>
    <row r="165" spans="12:21" x14ac:dyDescent="0.25">
      <c r="L165"/>
      <c r="M165"/>
      <c r="N165"/>
      <c r="O165"/>
      <c r="P165"/>
      <c r="Q165"/>
      <c r="R165"/>
      <c r="S165"/>
      <c r="T165"/>
      <c r="U165"/>
    </row>
    <row r="166" spans="12:21" x14ac:dyDescent="0.25">
      <c r="L166"/>
      <c r="M166"/>
      <c r="N166"/>
      <c r="O166"/>
      <c r="P166"/>
      <c r="Q166"/>
      <c r="R166"/>
      <c r="S166"/>
      <c r="T166"/>
      <c r="U166"/>
    </row>
    <row r="167" spans="12:21" x14ac:dyDescent="0.25">
      <c r="L167"/>
      <c r="M167"/>
      <c r="N167"/>
      <c r="O167"/>
      <c r="P167"/>
      <c r="Q167"/>
      <c r="R167"/>
      <c r="S167"/>
      <c r="T167"/>
      <c r="U167"/>
    </row>
    <row r="168" spans="12:21" x14ac:dyDescent="0.25">
      <c r="L168"/>
      <c r="M168"/>
      <c r="N168"/>
      <c r="O168"/>
      <c r="P168"/>
      <c r="Q168"/>
      <c r="R168"/>
      <c r="S168"/>
      <c r="T168"/>
      <c r="U168"/>
    </row>
    <row r="169" spans="12:21" x14ac:dyDescent="0.25">
      <c r="L169"/>
      <c r="M169"/>
      <c r="N169"/>
      <c r="O169"/>
      <c r="P169"/>
      <c r="Q169"/>
      <c r="R169"/>
      <c r="S169"/>
      <c r="T169"/>
      <c r="U169"/>
    </row>
    <row r="170" spans="12:21" x14ac:dyDescent="0.25">
      <c r="L170"/>
      <c r="M170"/>
      <c r="N170"/>
      <c r="O170"/>
      <c r="P170"/>
      <c r="Q170"/>
      <c r="R170"/>
      <c r="S170"/>
      <c r="T170"/>
      <c r="U170"/>
    </row>
    <row r="171" spans="12:21" x14ac:dyDescent="0.25">
      <c r="L171"/>
      <c r="M171"/>
      <c r="N171"/>
      <c r="O171"/>
      <c r="P171"/>
      <c r="Q171"/>
      <c r="R171"/>
      <c r="S171"/>
      <c r="T171"/>
      <c r="U171"/>
    </row>
    <row r="172" spans="12:21" x14ac:dyDescent="0.25">
      <c r="L172"/>
      <c r="M172"/>
      <c r="N172"/>
      <c r="O172"/>
      <c r="P172"/>
      <c r="Q172"/>
      <c r="R172"/>
      <c r="S172"/>
      <c r="T172"/>
      <c r="U172"/>
    </row>
    <row r="173" spans="12:21" x14ac:dyDescent="0.25">
      <c r="L173"/>
      <c r="M173"/>
      <c r="N173"/>
      <c r="O173"/>
      <c r="P173"/>
      <c r="Q173"/>
      <c r="R173"/>
      <c r="S173"/>
      <c r="T173"/>
      <c r="U173"/>
    </row>
    <row r="174" spans="12:21" x14ac:dyDescent="0.25">
      <c r="L174"/>
      <c r="M174"/>
      <c r="N174"/>
      <c r="O174"/>
      <c r="P174"/>
      <c r="Q174"/>
      <c r="R174"/>
      <c r="S174"/>
      <c r="T174"/>
      <c r="U174"/>
    </row>
    <row r="175" spans="12:21" x14ac:dyDescent="0.25">
      <c r="L175"/>
      <c r="M175"/>
      <c r="N175"/>
      <c r="O175"/>
      <c r="P175"/>
      <c r="Q175"/>
      <c r="R175"/>
      <c r="S175"/>
      <c r="T175"/>
      <c r="U175"/>
    </row>
    <row r="176" spans="12:21" x14ac:dyDescent="0.25">
      <c r="L176"/>
      <c r="M176"/>
      <c r="N176"/>
      <c r="O176"/>
      <c r="P176"/>
      <c r="Q176"/>
      <c r="R176"/>
      <c r="S176"/>
      <c r="T176"/>
      <c r="U176"/>
    </row>
    <row r="177" spans="12:21" x14ac:dyDescent="0.25">
      <c r="L177"/>
      <c r="M177"/>
      <c r="N177"/>
      <c r="O177"/>
      <c r="P177"/>
      <c r="Q177"/>
      <c r="R177"/>
      <c r="S177"/>
      <c r="T177"/>
      <c r="U177"/>
    </row>
    <row r="178" spans="12:21" x14ac:dyDescent="0.25">
      <c r="L178"/>
      <c r="M178"/>
      <c r="N178"/>
      <c r="O178"/>
      <c r="P178"/>
      <c r="Q178"/>
      <c r="R178"/>
      <c r="S178"/>
      <c r="T178"/>
      <c r="U178"/>
    </row>
    <row r="179" spans="12:21" x14ac:dyDescent="0.25">
      <c r="L179"/>
      <c r="M179"/>
      <c r="N179"/>
      <c r="O179"/>
      <c r="P179"/>
      <c r="Q179"/>
      <c r="R179"/>
      <c r="S179"/>
      <c r="T179"/>
      <c r="U179"/>
    </row>
    <row r="180" spans="12:21" x14ac:dyDescent="0.25">
      <c r="L180"/>
      <c r="M180"/>
      <c r="N180"/>
      <c r="O180"/>
      <c r="P180"/>
      <c r="Q180"/>
      <c r="R180"/>
      <c r="S180"/>
      <c r="T180"/>
      <c r="U180"/>
    </row>
    <row r="181" spans="12:21" x14ac:dyDescent="0.25">
      <c r="L181"/>
      <c r="M181"/>
      <c r="N181"/>
      <c r="O181"/>
      <c r="P181"/>
      <c r="Q181"/>
      <c r="R181"/>
      <c r="S181"/>
      <c r="T181"/>
      <c r="U181"/>
    </row>
    <row r="182" spans="12:21" x14ac:dyDescent="0.25">
      <c r="L182"/>
      <c r="M182"/>
      <c r="N182"/>
      <c r="O182"/>
      <c r="P182"/>
      <c r="Q182"/>
      <c r="R182"/>
      <c r="S182"/>
      <c r="T182"/>
      <c r="U182"/>
    </row>
    <row r="183" spans="12:21" x14ac:dyDescent="0.25">
      <c r="L183"/>
      <c r="M183"/>
      <c r="N183"/>
      <c r="O183"/>
      <c r="P183"/>
      <c r="Q183"/>
      <c r="R183"/>
      <c r="S183"/>
      <c r="T183"/>
      <c r="U183"/>
    </row>
    <row r="184" spans="12:21" x14ac:dyDescent="0.25">
      <c r="L184"/>
      <c r="M184"/>
      <c r="N184"/>
      <c r="O184"/>
      <c r="P184"/>
      <c r="Q184"/>
      <c r="R184"/>
      <c r="S184"/>
      <c r="T184"/>
      <c r="U184"/>
    </row>
    <row r="185" spans="12:21" x14ac:dyDescent="0.25">
      <c r="L185"/>
      <c r="M185"/>
      <c r="N185"/>
      <c r="O185"/>
      <c r="P185"/>
      <c r="Q185"/>
      <c r="R185"/>
      <c r="S185"/>
      <c r="T185"/>
      <c r="U185"/>
    </row>
    <row r="186" spans="12:21" x14ac:dyDescent="0.25">
      <c r="L186"/>
      <c r="M186"/>
      <c r="N186"/>
      <c r="O186"/>
      <c r="P186"/>
      <c r="Q186"/>
      <c r="R186"/>
      <c r="S186"/>
      <c r="T186"/>
      <c r="U186"/>
    </row>
    <row r="187" spans="12:21" x14ac:dyDescent="0.25">
      <c r="L187"/>
      <c r="M187"/>
      <c r="N187"/>
      <c r="O187"/>
      <c r="P187"/>
      <c r="Q187"/>
      <c r="R187"/>
      <c r="S187"/>
      <c r="T187"/>
      <c r="U187"/>
    </row>
    <row r="188" spans="12:21" x14ac:dyDescent="0.25">
      <c r="L188"/>
      <c r="M188"/>
      <c r="N188"/>
      <c r="O188"/>
      <c r="P188"/>
      <c r="Q188"/>
      <c r="R188"/>
      <c r="S188"/>
      <c r="T188"/>
      <c r="U188"/>
    </row>
    <row r="189" spans="12:21" x14ac:dyDescent="0.25">
      <c r="L189"/>
      <c r="M189"/>
      <c r="N189"/>
      <c r="O189"/>
      <c r="P189"/>
      <c r="Q189"/>
      <c r="R189"/>
      <c r="S189"/>
      <c r="T189"/>
      <c r="U189"/>
    </row>
    <row r="190" spans="12:21" x14ac:dyDescent="0.25">
      <c r="L190"/>
      <c r="M190"/>
      <c r="N190"/>
      <c r="O190"/>
      <c r="P190"/>
      <c r="Q190"/>
      <c r="R190"/>
      <c r="S190"/>
      <c r="T190"/>
      <c r="U190"/>
    </row>
    <row r="191" spans="12:21" x14ac:dyDescent="0.25">
      <c r="L191"/>
      <c r="M191"/>
      <c r="N191"/>
      <c r="O191"/>
      <c r="P191"/>
      <c r="Q191"/>
      <c r="R191"/>
      <c r="S191"/>
      <c r="T191"/>
      <c r="U191"/>
    </row>
    <row r="192" spans="12:21" x14ac:dyDescent="0.25">
      <c r="L192"/>
      <c r="M192"/>
      <c r="N192"/>
      <c r="O192"/>
      <c r="P192"/>
      <c r="Q192"/>
      <c r="R192"/>
      <c r="S192"/>
      <c r="T192"/>
      <c r="U192"/>
    </row>
    <row r="193" spans="12:21" x14ac:dyDescent="0.25">
      <c r="L193"/>
      <c r="M193"/>
      <c r="N193"/>
      <c r="O193"/>
      <c r="P193"/>
      <c r="Q193"/>
      <c r="R193"/>
      <c r="S193"/>
      <c r="T193"/>
      <c r="U193"/>
    </row>
    <row r="194" spans="12:21" x14ac:dyDescent="0.25">
      <c r="L194"/>
      <c r="M194"/>
      <c r="N194"/>
      <c r="O194"/>
      <c r="P194"/>
      <c r="Q194"/>
      <c r="R194"/>
      <c r="S194"/>
      <c r="T194"/>
      <c r="U194"/>
    </row>
    <row r="195" spans="12:21" x14ac:dyDescent="0.25">
      <c r="L195"/>
      <c r="M195"/>
      <c r="N195"/>
      <c r="O195"/>
      <c r="P195"/>
      <c r="Q195"/>
      <c r="R195"/>
      <c r="S195"/>
      <c r="T195"/>
      <c r="U195"/>
    </row>
    <row r="196" spans="12:21" x14ac:dyDescent="0.25">
      <c r="L196"/>
      <c r="M196"/>
      <c r="N196"/>
      <c r="O196"/>
      <c r="P196"/>
      <c r="Q196"/>
      <c r="R196"/>
      <c r="S196"/>
      <c r="T196"/>
      <c r="U196"/>
    </row>
    <row r="197" spans="12:21" x14ac:dyDescent="0.25">
      <c r="L197"/>
      <c r="M197"/>
      <c r="N197"/>
      <c r="O197"/>
      <c r="P197"/>
      <c r="Q197"/>
      <c r="R197"/>
      <c r="S197"/>
      <c r="T197"/>
      <c r="U197"/>
    </row>
    <row r="198" spans="12:21" x14ac:dyDescent="0.25">
      <c r="L198"/>
      <c r="M198"/>
      <c r="N198"/>
      <c r="O198"/>
      <c r="P198"/>
      <c r="Q198"/>
      <c r="R198"/>
      <c r="S198"/>
      <c r="T198"/>
      <c r="U198"/>
    </row>
    <row r="199" spans="12:21" x14ac:dyDescent="0.25">
      <c r="L199"/>
      <c r="M199"/>
      <c r="N199"/>
      <c r="O199"/>
      <c r="P199"/>
      <c r="Q199"/>
      <c r="R199"/>
      <c r="S199"/>
      <c r="T199"/>
      <c r="U199"/>
    </row>
    <row r="200" spans="12:21" x14ac:dyDescent="0.25">
      <c r="L200"/>
      <c r="M200"/>
      <c r="N200"/>
      <c r="O200"/>
      <c r="P200"/>
      <c r="Q200"/>
      <c r="R200"/>
      <c r="S200"/>
      <c r="T200"/>
      <c r="U200"/>
    </row>
    <row r="201" spans="12:21" x14ac:dyDescent="0.25">
      <c r="L201"/>
      <c r="M201"/>
      <c r="N201"/>
      <c r="O201"/>
      <c r="P201"/>
      <c r="Q201"/>
      <c r="R201"/>
      <c r="S201"/>
      <c r="T201"/>
      <c r="U201"/>
    </row>
    <row r="202" spans="12:21" x14ac:dyDescent="0.25">
      <c r="L202"/>
      <c r="M202"/>
      <c r="N202"/>
      <c r="O202"/>
      <c r="P202"/>
      <c r="Q202"/>
      <c r="R202"/>
      <c r="S202"/>
      <c r="T202"/>
      <c r="U202"/>
    </row>
    <row r="203" spans="12:21" x14ac:dyDescent="0.25">
      <c r="L203"/>
      <c r="M203"/>
      <c r="N203"/>
      <c r="O203"/>
      <c r="P203"/>
      <c r="Q203"/>
      <c r="R203"/>
      <c r="S203"/>
      <c r="T203"/>
      <c r="U203"/>
    </row>
    <row r="204" spans="12:21" x14ac:dyDescent="0.25">
      <c r="L204"/>
      <c r="M204"/>
      <c r="N204"/>
      <c r="O204"/>
      <c r="P204"/>
      <c r="Q204"/>
      <c r="R204"/>
      <c r="S204"/>
      <c r="T204"/>
      <c r="U204"/>
    </row>
    <row r="205" spans="12:21" x14ac:dyDescent="0.25">
      <c r="L205"/>
      <c r="M205"/>
      <c r="N205"/>
      <c r="O205"/>
      <c r="P205"/>
      <c r="Q205"/>
      <c r="R205"/>
      <c r="S205"/>
      <c r="T205"/>
      <c r="U205"/>
    </row>
    <row r="206" spans="12:21" x14ac:dyDescent="0.25">
      <c r="L206"/>
      <c r="M206"/>
      <c r="N206"/>
      <c r="O206"/>
      <c r="P206"/>
      <c r="Q206"/>
      <c r="R206"/>
      <c r="S206"/>
      <c r="T206"/>
      <c r="U206"/>
    </row>
    <row r="207" spans="12:21" x14ac:dyDescent="0.25">
      <c r="L207"/>
      <c r="M207"/>
      <c r="N207"/>
      <c r="O207"/>
      <c r="P207"/>
      <c r="Q207"/>
      <c r="R207"/>
      <c r="S207"/>
      <c r="T207"/>
      <c r="U207"/>
    </row>
    <row r="208" spans="12:21" x14ac:dyDescent="0.25">
      <c r="L208"/>
      <c r="M208"/>
      <c r="N208"/>
      <c r="O208"/>
      <c r="P208"/>
      <c r="Q208"/>
      <c r="R208"/>
      <c r="S208"/>
      <c r="T208"/>
      <c r="U208"/>
    </row>
    <row r="209" spans="12:21" x14ac:dyDescent="0.25">
      <c r="L209"/>
      <c r="M209"/>
      <c r="N209"/>
      <c r="O209"/>
      <c r="P209"/>
      <c r="Q209"/>
      <c r="R209"/>
      <c r="S209"/>
      <c r="T209"/>
      <c r="U209"/>
    </row>
    <row r="210" spans="12:21" x14ac:dyDescent="0.25">
      <c r="L210"/>
      <c r="M210"/>
      <c r="N210"/>
      <c r="O210"/>
      <c r="P210"/>
      <c r="Q210"/>
      <c r="R210"/>
      <c r="S210"/>
      <c r="T210"/>
      <c r="U210"/>
    </row>
    <row r="211" spans="12:21" x14ac:dyDescent="0.25">
      <c r="L211"/>
      <c r="M211"/>
      <c r="N211"/>
      <c r="O211"/>
      <c r="P211"/>
      <c r="Q211"/>
      <c r="R211"/>
      <c r="S211"/>
      <c r="T211"/>
      <c r="U211"/>
    </row>
    <row r="212" spans="12:21" x14ac:dyDescent="0.25">
      <c r="L212"/>
      <c r="M212"/>
      <c r="N212"/>
      <c r="O212"/>
      <c r="P212"/>
      <c r="Q212"/>
      <c r="R212"/>
      <c r="S212"/>
      <c r="T212"/>
      <c r="U212"/>
    </row>
    <row r="213" spans="12:21" x14ac:dyDescent="0.25">
      <c r="L213"/>
      <c r="M213"/>
      <c r="N213"/>
      <c r="O213"/>
      <c r="P213"/>
      <c r="Q213"/>
      <c r="R213"/>
      <c r="S213"/>
      <c r="T213"/>
      <c r="U213"/>
    </row>
    <row r="214" spans="12:21" x14ac:dyDescent="0.25">
      <c r="L214"/>
      <c r="M214"/>
      <c r="N214"/>
      <c r="O214"/>
      <c r="P214"/>
      <c r="Q214"/>
      <c r="R214"/>
      <c r="S214"/>
      <c r="T214"/>
      <c r="U214"/>
    </row>
    <row r="215" spans="12:21" x14ac:dyDescent="0.25">
      <c r="L215"/>
      <c r="M215"/>
      <c r="N215"/>
      <c r="O215"/>
      <c r="P215"/>
      <c r="Q215"/>
      <c r="R215"/>
      <c r="S215"/>
      <c r="T215"/>
      <c r="U215"/>
    </row>
    <row r="216" spans="12:21" x14ac:dyDescent="0.25">
      <c r="L216"/>
      <c r="M216"/>
      <c r="N216"/>
      <c r="O216"/>
      <c r="P216"/>
      <c r="Q216"/>
      <c r="R216"/>
      <c r="S216"/>
      <c r="T216"/>
      <c r="U216"/>
    </row>
    <row r="217" spans="12:21" x14ac:dyDescent="0.25">
      <c r="L217"/>
      <c r="M217"/>
      <c r="N217"/>
      <c r="O217"/>
      <c r="P217"/>
      <c r="Q217"/>
      <c r="R217"/>
      <c r="S217"/>
      <c r="T217"/>
      <c r="U217"/>
    </row>
    <row r="218" spans="12:21" x14ac:dyDescent="0.25">
      <c r="L218"/>
      <c r="M218"/>
      <c r="N218"/>
      <c r="O218"/>
      <c r="P218"/>
      <c r="Q218"/>
      <c r="R218"/>
      <c r="S218"/>
      <c r="T218"/>
      <c r="U218"/>
    </row>
    <row r="219" spans="12:21" x14ac:dyDescent="0.25">
      <c r="L219"/>
      <c r="M219"/>
      <c r="N219"/>
      <c r="O219"/>
      <c r="P219"/>
      <c r="Q219"/>
      <c r="R219"/>
      <c r="S219"/>
      <c r="T219"/>
      <c r="U219"/>
    </row>
    <row r="220" spans="12:21" x14ac:dyDescent="0.25">
      <c r="L220"/>
      <c r="M220"/>
      <c r="N220"/>
      <c r="O220"/>
      <c r="P220"/>
      <c r="Q220"/>
      <c r="R220"/>
      <c r="S220"/>
      <c r="T220"/>
      <c r="U220"/>
    </row>
    <row r="221" spans="12:21" x14ac:dyDescent="0.25">
      <c r="L221"/>
      <c r="M221"/>
      <c r="N221"/>
      <c r="O221"/>
      <c r="P221"/>
      <c r="Q221"/>
      <c r="R221"/>
      <c r="S221"/>
      <c r="T221"/>
      <c r="U221"/>
    </row>
    <row r="222" spans="12:21" x14ac:dyDescent="0.25">
      <c r="L222"/>
      <c r="M222"/>
      <c r="N222"/>
      <c r="O222"/>
      <c r="P222"/>
      <c r="Q222"/>
      <c r="R222"/>
      <c r="S222"/>
      <c r="T222"/>
      <c r="U222"/>
    </row>
    <row r="223" spans="12:21" x14ac:dyDescent="0.25">
      <c r="L223"/>
      <c r="M223"/>
      <c r="N223"/>
      <c r="O223"/>
      <c r="P223"/>
      <c r="Q223"/>
      <c r="R223"/>
      <c r="S223"/>
      <c r="T223"/>
      <c r="U223"/>
    </row>
    <row r="224" spans="12:21" x14ac:dyDescent="0.25">
      <c r="L224"/>
      <c r="M224"/>
      <c r="N224"/>
      <c r="O224"/>
      <c r="P224"/>
      <c r="Q224"/>
      <c r="R224"/>
      <c r="S224"/>
      <c r="T224"/>
      <c r="U224"/>
    </row>
    <row r="225" spans="12:21" x14ac:dyDescent="0.25">
      <c r="L225"/>
      <c r="M225"/>
      <c r="N225"/>
      <c r="O225"/>
      <c r="P225"/>
      <c r="Q225"/>
      <c r="R225"/>
      <c r="S225"/>
      <c r="T225"/>
      <c r="U225"/>
    </row>
    <row r="226" spans="12:21" x14ac:dyDescent="0.25">
      <c r="L226"/>
      <c r="M226"/>
      <c r="N226"/>
      <c r="O226"/>
      <c r="P226"/>
      <c r="Q226"/>
      <c r="R226"/>
      <c r="S226"/>
      <c r="T226"/>
      <c r="U226"/>
    </row>
    <row r="227" spans="12:21" x14ac:dyDescent="0.25">
      <c r="L227"/>
      <c r="M227"/>
      <c r="N227"/>
      <c r="O227"/>
      <c r="P227"/>
      <c r="Q227"/>
      <c r="R227"/>
      <c r="S227"/>
      <c r="T227"/>
      <c r="U227"/>
    </row>
    <row r="228" spans="12:21" x14ac:dyDescent="0.25">
      <c r="L228"/>
      <c r="M228"/>
      <c r="N228"/>
      <c r="O228"/>
      <c r="P228"/>
      <c r="Q228"/>
      <c r="R228"/>
      <c r="S228"/>
      <c r="T228"/>
      <c r="U228"/>
    </row>
    <row r="229" spans="12:21" x14ac:dyDescent="0.25">
      <c r="L229"/>
      <c r="M229"/>
      <c r="N229"/>
      <c r="O229"/>
      <c r="P229"/>
      <c r="Q229"/>
      <c r="R229"/>
      <c r="S229"/>
      <c r="T229"/>
      <c r="U229"/>
    </row>
    <row r="230" spans="12:21" x14ac:dyDescent="0.25">
      <c r="L230"/>
      <c r="M230"/>
      <c r="N230"/>
      <c r="O230"/>
      <c r="P230"/>
      <c r="Q230"/>
      <c r="R230"/>
      <c r="S230"/>
      <c r="T230"/>
      <c r="U230"/>
    </row>
    <row r="231" spans="12:21" x14ac:dyDescent="0.25">
      <c r="L231"/>
      <c r="M231"/>
      <c r="N231"/>
      <c r="O231"/>
      <c r="P231"/>
      <c r="Q231"/>
      <c r="R231"/>
      <c r="S231"/>
      <c r="T231"/>
      <c r="U231"/>
    </row>
    <row r="232" spans="12:21" x14ac:dyDescent="0.25">
      <c r="L232"/>
      <c r="M232"/>
      <c r="N232"/>
      <c r="O232"/>
      <c r="P232"/>
      <c r="Q232"/>
      <c r="R232"/>
      <c r="S232"/>
      <c r="T232"/>
      <c r="U232"/>
    </row>
    <row r="233" spans="12:21" x14ac:dyDescent="0.25">
      <c r="L233"/>
      <c r="M233"/>
      <c r="N233"/>
      <c r="O233"/>
      <c r="P233"/>
      <c r="Q233"/>
      <c r="R233"/>
      <c r="S233"/>
      <c r="T233"/>
      <c r="U233"/>
    </row>
    <row r="234" spans="12:21" x14ac:dyDescent="0.25">
      <c r="L234"/>
      <c r="M234"/>
      <c r="N234"/>
      <c r="O234"/>
      <c r="P234"/>
      <c r="Q234"/>
      <c r="R234"/>
      <c r="S234"/>
      <c r="T234"/>
      <c r="U234"/>
    </row>
    <row r="235" spans="12:21" x14ac:dyDescent="0.25">
      <c r="L235"/>
      <c r="M235"/>
      <c r="N235"/>
      <c r="O235"/>
      <c r="P235"/>
      <c r="Q235"/>
      <c r="R235"/>
      <c r="S235"/>
      <c r="T235"/>
      <c r="U235"/>
    </row>
    <row r="236" spans="12:21" x14ac:dyDescent="0.25">
      <c r="L236"/>
      <c r="M236"/>
      <c r="N236"/>
      <c r="O236"/>
      <c r="P236"/>
      <c r="Q236"/>
      <c r="R236"/>
      <c r="S236"/>
      <c r="T236"/>
      <c r="U236"/>
    </row>
    <row r="237" spans="12:21" x14ac:dyDescent="0.25">
      <c r="L237"/>
      <c r="M237"/>
      <c r="N237"/>
      <c r="O237"/>
      <c r="P237"/>
      <c r="Q237"/>
      <c r="R237"/>
      <c r="S237"/>
      <c r="T237"/>
      <c r="U237"/>
    </row>
    <row r="238" spans="12:21" x14ac:dyDescent="0.25">
      <c r="L238"/>
      <c r="M238"/>
      <c r="N238"/>
      <c r="O238"/>
      <c r="P238"/>
      <c r="Q238"/>
      <c r="R238"/>
      <c r="S238"/>
      <c r="T238"/>
      <c r="U238"/>
    </row>
    <row r="239" spans="12:21" x14ac:dyDescent="0.25">
      <c r="L239"/>
      <c r="M239"/>
      <c r="N239"/>
      <c r="O239"/>
      <c r="P239"/>
      <c r="Q239"/>
      <c r="R239"/>
      <c r="S239"/>
      <c r="T239"/>
      <c r="U239"/>
    </row>
    <row r="240" spans="12:21" x14ac:dyDescent="0.25">
      <c r="L240"/>
      <c r="M240"/>
      <c r="N240"/>
      <c r="O240"/>
      <c r="P240"/>
      <c r="Q240"/>
      <c r="R240"/>
      <c r="S240"/>
      <c r="T240"/>
      <c r="U240"/>
    </row>
    <row r="241" spans="12:21" x14ac:dyDescent="0.25">
      <c r="L241"/>
      <c r="M241"/>
      <c r="N241"/>
      <c r="O241"/>
      <c r="P241"/>
      <c r="Q241"/>
      <c r="R241"/>
      <c r="S241"/>
      <c r="T241"/>
      <c r="U241"/>
    </row>
    <row r="242" spans="12:21" x14ac:dyDescent="0.25">
      <c r="L242"/>
      <c r="M242"/>
      <c r="N242"/>
      <c r="O242"/>
      <c r="P242"/>
      <c r="Q242"/>
      <c r="R242"/>
      <c r="S242"/>
      <c r="T242"/>
      <c r="U242"/>
    </row>
    <row r="243" spans="12:21" x14ac:dyDescent="0.25">
      <c r="L243"/>
      <c r="M243"/>
      <c r="N243"/>
      <c r="O243"/>
      <c r="P243"/>
      <c r="Q243"/>
      <c r="R243"/>
      <c r="S243"/>
      <c r="T243"/>
      <c r="U243"/>
    </row>
    <row r="244" spans="12:21" x14ac:dyDescent="0.25">
      <c r="L244"/>
      <c r="M244"/>
      <c r="N244"/>
      <c r="O244"/>
      <c r="P244"/>
      <c r="Q244"/>
      <c r="R244"/>
      <c r="S244"/>
      <c r="T244"/>
      <c r="U244"/>
    </row>
    <row r="245" spans="12:21" x14ac:dyDescent="0.25">
      <c r="L245"/>
      <c r="M245"/>
      <c r="N245"/>
      <c r="O245"/>
      <c r="P245"/>
      <c r="Q245"/>
      <c r="R245"/>
      <c r="S245"/>
      <c r="T245"/>
      <c r="U245"/>
    </row>
    <row r="246" spans="12:21" x14ac:dyDescent="0.25">
      <c r="L246"/>
      <c r="M246"/>
      <c r="N246"/>
      <c r="O246"/>
      <c r="P246"/>
      <c r="Q246"/>
      <c r="R246"/>
      <c r="S246"/>
      <c r="T246"/>
      <c r="U246"/>
    </row>
    <row r="247" spans="12:21" x14ac:dyDescent="0.25">
      <c r="L247"/>
      <c r="M247"/>
      <c r="N247"/>
      <c r="O247"/>
      <c r="P247"/>
      <c r="Q247"/>
      <c r="R247"/>
      <c r="S247"/>
      <c r="T247"/>
      <c r="U247"/>
    </row>
    <row r="248" spans="12:21" x14ac:dyDescent="0.25">
      <c r="L248"/>
      <c r="M248"/>
      <c r="N248"/>
      <c r="O248"/>
      <c r="P248"/>
      <c r="Q248"/>
      <c r="R248"/>
      <c r="S248"/>
      <c r="T248"/>
      <c r="U248"/>
    </row>
    <row r="249" spans="12:21" x14ac:dyDescent="0.25">
      <c r="L249"/>
      <c r="M249"/>
      <c r="N249"/>
      <c r="O249"/>
      <c r="P249"/>
      <c r="Q249"/>
      <c r="R249"/>
      <c r="S249"/>
      <c r="T249"/>
      <c r="U249"/>
    </row>
    <row r="250" spans="12:21" x14ac:dyDescent="0.25">
      <c r="L250"/>
      <c r="M250"/>
      <c r="N250"/>
      <c r="O250"/>
      <c r="P250"/>
      <c r="Q250"/>
      <c r="R250"/>
      <c r="S250"/>
      <c r="T250"/>
      <c r="U250"/>
    </row>
    <row r="251" spans="12:21" x14ac:dyDescent="0.25">
      <c r="L251"/>
      <c r="M251"/>
      <c r="N251"/>
      <c r="O251"/>
      <c r="P251"/>
      <c r="Q251"/>
      <c r="R251"/>
      <c r="S251"/>
      <c r="T251"/>
      <c r="U251"/>
    </row>
    <row r="252" spans="12:21" x14ac:dyDescent="0.25">
      <c r="L252"/>
      <c r="M252"/>
      <c r="N252"/>
      <c r="O252"/>
      <c r="P252"/>
      <c r="Q252"/>
      <c r="R252"/>
      <c r="S252"/>
      <c r="T252"/>
      <c r="U252"/>
    </row>
    <row r="253" spans="12:21" x14ac:dyDescent="0.25">
      <c r="L253"/>
      <c r="M253"/>
      <c r="N253"/>
      <c r="O253"/>
      <c r="P253"/>
      <c r="Q253"/>
      <c r="R253"/>
      <c r="S253"/>
      <c r="T253"/>
      <c r="U253"/>
    </row>
    <row r="254" spans="12:21" x14ac:dyDescent="0.25">
      <c r="L254"/>
      <c r="M254"/>
      <c r="N254"/>
      <c r="O254"/>
      <c r="P254"/>
      <c r="Q254"/>
      <c r="R254"/>
      <c r="S254"/>
      <c r="T254"/>
      <c r="U254"/>
    </row>
    <row r="255" spans="12:21" x14ac:dyDescent="0.25">
      <c r="L255"/>
      <c r="M255"/>
      <c r="N255"/>
      <c r="O255"/>
      <c r="P255"/>
      <c r="Q255"/>
      <c r="R255"/>
      <c r="S255"/>
      <c r="T255"/>
      <c r="U255"/>
    </row>
    <row r="256" spans="12:21" x14ac:dyDescent="0.25">
      <c r="L256"/>
      <c r="M256"/>
      <c r="N256"/>
      <c r="O256"/>
      <c r="P256"/>
      <c r="Q256"/>
      <c r="R256"/>
      <c r="S256"/>
      <c r="T256"/>
      <c r="U256"/>
    </row>
    <row r="257" spans="12:21" x14ac:dyDescent="0.25">
      <c r="L257"/>
      <c r="M257"/>
      <c r="N257"/>
      <c r="O257"/>
      <c r="P257"/>
      <c r="Q257"/>
      <c r="R257"/>
      <c r="S257"/>
      <c r="T257"/>
      <c r="U257"/>
    </row>
    <row r="258" spans="12:21" x14ac:dyDescent="0.25">
      <c r="L258"/>
      <c r="M258"/>
      <c r="N258"/>
      <c r="O258"/>
      <c r="P258"/>
      <c r="Q258"/>
      <c r="R258"/>
      <c r="S258"/>
      <c r="T258"/>
      <c r="U258"/>
    </row>
    <row r="259" spans="12:21" x14ac:dyDescent="0.25">
      <c r="L259"/>
      <c r="M259"/>
      <c r="N259"/>
      <c r="O259"/>
      <c r="P259"/>
      <c r="Q259"/>
      <c r="R259"/>
      <c r="S259"/>
      <c r="T259"/>
      <c r="U259"/>
    </row>
    <row r="260" spans="12:21" x14ac:dyDescent="0.25">
      <c r="L260"/>
      <c r="M260"/>
      <c r="N260"/>
      <c r="O260"/>
      <c r="P260"/>
      <c r="Q260"/>
      <c r="R260"/>
      <c r="S260"/>
      <c r="T260"/>
      <c r="U260"/>
    </row>
    <row r="261" spans="12:21" x14ac:dyDescent="0.25">
      <c r="L261"/>
      <c r="M261"/>
      <c r="N261"/>
      <c r="O261"/>
      <c r="P261"/>
      <c r="Q261"/>
      <c r="R261"/>
      <c r="S261"/>
      <c r="T261"/>
      <c r="U261"/>
    </row>
    <row r="262" spans="12:21" x14ac:dyDescent="0.25">
      <c r="L262"/>
      <c r="M262"/>
      <c r="N262"/>
      <c r="O262"/>
      <c r="P262"/>
      <c r="Q262"/>
      <c r="R262"/>
      <c r="S262"/>
      <c r="T262"/>
      <c r="U262"/>
    </row>
    <row r="263" spans="12:21" x14ac:dyDescent="0.25">
      <c r="L263"/>
      <c r="M263"/>
      <c r="N263"/>
      <c r="O263"/>
      <c r="P263"/>
      <c r="Q263"/>
      <c r="R263"/>
      <c r="S263"/>
      <c r="T263"/>
      <c r="U263"/>
    </row>
    <row r="264" spans="12:21" x14ac:dyDescent="0.25">
      <c r="L264"/>
      <c r="M264"/>
      <c r="N264"/>
      <c r="O264"/>
      <c r="P264"/>
      <c r="Q264"/>
      <c r="R264"/>
      <c r="S264"/>
      <c r="T264"/>
      <c r="U264"/>
    </row>
    <row r="265" spans="12:21" x14ac:dyDescent="0.25">
      <c r="L265"/>
      <c r="M265"/>
      <c r="N265"/>
      <c r="O265"/>
      <c r="P265"/>
      <c r="Q265"/>
      <c r="R265"/>
      <c r="S265"/>
      <c r="T265"/>
      <c r="U265"/>
    </row>
    <row r="266" spans="12:21" x14ac:dyDescent="0.25">
      <c r="L266"/>
      <c r="M266"/>
      <c r="N266"/>
      <c r="O266"/>
      <c r="P266"/>
      <c r="Q266"/>
      <c r="R266"/>
      <c r="S266"/>
      <c r="T266"/>
      <c r="U266"/>
    </row>
    <row r="267" spans="12:21" x14ac:dyDescent="0.25">
      <c r="L267"/>
      <c r="M267"/>
      <c r="N267"/>
      <c r="O267"/>
      <c r="P267"/>
      <c r="Q267"/>
      <c r="R267"/>
      <c r="S267"/>
      <c r="T267"/>
      <c r="U267"/>
    </row>
    <row r="268" spans="12:21" x14ac:dyDescent="0.25">
      <c r="L268"/>
      <c r="M268"/>
      <c r="N268"/>
      <c r="O268"/>
      <c r="P268"/>
      <c r="Q268"/>
      <c r="R268"/>
      <c r="S268"/>
      <c r="T268"/>
      <c r="U268"/>
    </row>
    <row r="269" spans="12:21" x14ac:dyDescent="0.25">
      <c r="L269"/>
      <c r="M269"/>
      <c r="N269"/>
      <c r="O269"/>
      <c r="P269"/>
      <c r="Q269"/>
      <c r="R269"/>
      <c r="S269"/>
      <c r="T269"/>
      <c r="U269"/>
    </row>
    <row r="270" spans="12:21" x14ac:dyDescent="0.25">
      <c r="L270"/>
      <c r="M270"/>
      <c r="N270"/>
      <c r="O270"/>
      <c r="P270"/>
      <c r="Q270"/>
      <c r="R270"/>
      <c r="S270"/>
      <c r="T270"/>
      <c r="U270"/>
    </row>
    <row r="271" spans="12:21" x14ac:dyDescent="0.25">
      <c r="L271"/>
      <c r="M271"/>
      <c r="N271"/>
      <c r="O271"/>
      <c r="P271"/>
      <c r="Q271"/>
      <c r="R271"/>
      <c r="S271"/>
      <c r="T271"/>
      <c r="U271"/>
    </row>
    <row r="272" spans="12:21" x14ac:dyDescent="0.25">
      <c r="L272"/>
      <c r="M272"/>
      <c r="N272"/>
      <c r="O272"/>
      <c r="P272"/>
      <c r="Q272"/>
      <c r="R272"/>
      <c r="S272"/>
      <c r="T272"/>
      <c r="U272"/>
    </row>
    <row r="273" spans="12:21" x14ac:dyDescent="0.25">
      <c r="L273"/>
      <c r="M273"/>
      <c r="N273"/>
      <c r="O273"/>
      <c r="P273"/>
      <c r="Q273"/>
      <c r="R273"/>
      <c r="S273"/>
      <c r="T273"/>
      <c r="U273"/>
    </row>
    <row r="274" spans="12:21" x14ac:dyDescent="0.25">
      <c r="L274"/>
      <c r="M274"/>
      <c r="N274"/>
      <c r="O274"/>
      <c r="P274"/>
      <c r="Q274"/>
      <c r="R274"/>
      <c r="S274"/>
      <c r="T274"/>
      <c r="U274"/>
    </row>
    <row r="275" spans="12:21" x14ac:dyDescent="0.25">
      <c r="L275"/>
      <c r="M275"/>
      <c r="N275"/>
      <c r="O275"/>
      <c r="P275"/>
      <c r="Q275"/>
      <c r="R275"/>
      <c r="S275"/>
      <c r="T275"/>
      <c r="U275"/>
    </row>
    <row r="276" spans="12:21" x14ac:dyDescent="0.25">
      <c r="L276"/>
      <c r="M276"/>
      <c r="N276"/>
      <c r="O276"/>
      <c r="P276"/>
      <c r="Q276"/>
      <c r="R276"/>
      <c r="S276"/>
      <c r="T276"/>
      <c r="U276"/>
    </row>
    <row r="277" spans="12:21" x14ac:dyDescent="0.25">
      <c r="L277"/>
      <c r="M277"/>
      <c r="N277"/>
      <c r="O277"/>
      <c r="P277"/>
      <c r="Q277"/>
      <c r="R277"/>
      <c r="S277"/>
      <c r="T277"/>
      <c r="U277"/>
    </row>
    <row r="278" spans="12:21" x14ac:dyDescent="0.25">
      <c r="L278"/>
      <c r="M278"/>
      <c r="N278"/>
      <c r="O278"/>
      <c r="P278"/>
      <c r="Q278"/>
      <c r="R278"/>
      <c r="S278"/>
      <c r="T278"/>
      <c r="U278"/>
    </row>
    <row r="279" spans="12:21" x14ac:dyDescent="0.25">
      <c r="L279"/>
      <c r="M279"/>
      <c r="N279"/>
      <c r="O279"/>
      <c r="P279"/>
      <c r="Q279"/>
      <c r="R279"/>
      <c r="S279"/>
      <c r="T279"/>
      <c r="U279"/>
    </row>
    <row r="280" spans="12:21" x14ac:dyDescent="0.25">
      <c r="L280"/>
      <c r="M280"/>
      <c r="N280"/>
      <c r="O280"/>
      <c r="P280"/>
      <c r="Q280"/>
      <c r="R280"/>
      <c r="S280"/>
      <c r="T280"/>
      <c r="U280"/>
    </row>
    <row r="281" spans="12:21" x14ac:dyDescent="0.25">
      <c r="L281"/>
      <c r="M281"/>
      <c r="N281"/>
      <c r="O281"/>
      <c r="P281"/>
      <c r="Q281"/>
      <c r="R281"/>
      <c r="S281"/>
      <c r="T281"/>
      <c r="U281"/>
    </row>
    <row r="282" spans="12:21" x14ac:dyDescent="0.25">
      <c r="L282"/>
      <c r="M282"/>
      <c r="N282"/>
      <c r="O282"/>
      <c r="P282"/>
      <c r="Q282"/>
      <c r="R282"/>
      <c r="S282"/>
      <c r="T282"/>
      <c r="U282"/>
    </row>
    <row r="283" spans="12:21" x14ac:dyDescent="0.25">
      <c r="L283"/>
      <c r="M283"/>
      <c r="N283"/>
      <c r="O283"/>
      <c r="P283"/>
      <c r="Q283"/>
      <c r="R283"/>
      <c r="S283"/>
      <c r="T283"/>
      <c r="U283"/>
    </row>
    <row r="284" spans="12:21" x14ac:dyDescent="0.25">
      <c r="L284"/>
      <c r="M284"/>
      <c r="N284"/>
      <c r="O284"/>
      <c r="P284"/>
      <c r="Q284"/>
      <c r="R284"/>
      <c r="S284"/>
      <c r="T284"/>
      <c r="U284"/>
    </row>
    <row r="285" spans="12:21" x14ac:dyDescent="0.25">
      <c r="L285"/>
      <c r="M285"/>
      <c r="N285"/>
      <c r="O285"/>
      <c r="P285"/>
      <c r="Q285"/>
      <c r="R285"/>
      <c r="S285"/>
      <c r="T285"/>
      <c r="U285"/>
    </row>
    <row r="286" spans="12:21" x14ac:dyDescent="0.25">
      <c r="L286"/>
      <c r="M286"/>
      <c r="N286"/>
      <c r="O286"/>
      <c r="P286"/>
      <c r="Q286"/>
      <c r="R286"/>
      <c r="S286"/>
      <c r="T286"/>
      <c r="U286"/>
    </row>
    <row r="287" spans="12:21" x14ac:dyDescent="0.25">
      <c r="L287"/>
      <c r="M287"/>
      <c r="N287"/>
      <c r="O287"/>
      <c r="P287"/>
      <c r="Q287"/>
      <c r="R287"/>
      <c r="S287"/>
      <c r="T287"/>
      <c r="U287"/>
    </row>
    <row r="288" spans="12:21" x14ac:dyDescent="0.25">
      <c r="L288"/>
      <c r="M288"/>
      <c r="N288"/>
      <c r="O288"/>
      <c r="P288"/>
      <c r="Q288"/>
      <c r="R288"/>
      <c r="S288"/>
      <c r="T288"/>
      <c r="U288"/>
    </row>
    <row r="289" spans="12:21" x14ac:dyDescent="0.25">
      <c r="L289"/>
      <c r="M289"/>
      <c r="N289"/>
      <c r="O289"/>
      <c r="P289"/>
      <c r="Q289"/>
      <c r="R289"/>
      <c r="S289"/>
      <c r="T289"/>
      <c r="U289"/>
    </row>
    <row r="290" spans="12:21" x14ac:dyDescent="0.25">
      <c r="L290"/>
      <c r="M290"/>
      <c r="N290"/>
      <c r="O290"/>
      <c r="P290"/>
      <c r="Q290"/>
      <c r="R290"/>
      <c r="S290"/>
      <c r="T290"/>
      <c r="U290"/>
    </row>
    <row r="291" spans="12:21" x14ac:dyDescent="0.25">
      <c r="L291"/>
      <c r="M291"/>
      <c r="N291"/>
      <c r="O291"/>
      <c r="P291"/>
      <c r="Q291"/>
      <c r="R291"/>
      <c r="S291"/>
      <c r="T291"/>
      <c r="U291"/>
    </row>
    <row r="292" spans="12:21" x14ac:dyDescent="0.25">
      <c r="L292"/>
      <c r="M292"/>
      <c r="N292"/>
      <c r="O292"/>
      <c r="P292"/>
      <c r="Q292"/>
      <c r="R292"/>
      <c r="S292"/>
      <c r="T292"/>
      <c r="U292"/>
    </row>
    <row r="293" spans="12:21" x14ac:dyDescent="0.25">
      <c r="L293"/>
      <c r="M293"/>
      <c r="N293"/>
      <c r="O293"/>
      <c r="P293"/>
      <c r="Q293"/>
      <c r="R293"/>
      <c r="S293"/>
      <c r="T293"/>
      <c r="U293"/>
    </row>
    <row r="294" spans="12:21" x14ac:dyDescent="0.25">
      <c r="L294"/>
      <c r="M294"/>
      <c r="N294"/>
      <c r="O294"/>
      <c r="P294"/>
      <c r="Q294"/>
      <c r="R294"/>
      <c r="S294"/>
      <c r="T294"/>
      <c r="U294"/>
    </row>
    <row r="295" spans="12:21" x14ac:dyDescent="0.25">
      <c r="L295"/>
      <c r="M295"/>
      <c r="N295"/>
      <c r="O295"/>
      <c r="P295"/>
      <c r="Q295"/>
      <c r="R295"/>
      <c r="S295"/>
      <c r="T295"/>
      <c r="U295"/>
    </row>
    <row r="296" spans="12:21" x14ac:dyDescent="0.25">
      <c r="L296"/>
      <c r="M296"/>
      <c r="N296"/>
      <c r="O296"/>
      <c r="P296"/>
      <c r="Q296"/>
      <c r="R296"/>
      <c r="S296"/>
      <c r="T296"/>
      <c r="U296"/>
    </row>
    <row r="297" spans="12:21" x14ac:dyDescent="0.25">
      <c r="L297"/>
      <c r="M297"/>
      <c r="N297"/>
      <c r="O297"/>
      <c r="P297"/>
      <c r="Q297"/>
      <c r="R297"/>
      <c r="S297"/>
      <c r="T297"/>
      <c r="U297"/>
    </row>
    <row r="298" spans="12:21" x14ac:dyDescent="0.25">
      <c r="L298"/>
      <c r="M298"/>
      <c r="N298"/>
      <c r="O298"/>
      <c r="P298"/>
      <c r="Q298"/>
      <c r="R298"/>
      <c r="S298"/>
      <c r="T298"/>
      <c r="U298"/>
    </row>
    <row r="299" spans="12:21" x14ac:dyDescent="0.25">
      <c r="L299"/>
      <c r="M299"/>
      <c r="N299"/>
      <c r="O299"/>
      <c r="P299"/>
      <c r="Q299"/>
      <c r="R299"/>
      <c r="S299"/>
      <c r="T299"/>
      <c r="U299"/>
    </row>
    <row r="300" spans="12:21" x14ac:dyDescent="0.25">
      <c r="L300"/>
      <c r="M300"/>
      <c r="N300"/>
      <c r="O300"/>
      <c r="P300"/>
      <c r="Q300"/>
      <c r="R300"/>
      <c r="S300"/>
      <c r="T300"/>
      <c r="U300"/>
    </row>
    <row r="301" spans="12:21" x14ac:dyDescent="0.25">
      <c r="L301"/>
      <c r="M301"/>
      <c r="N301"/>
      <c r="O301"/>
      <c r="P301"/>
      <c r="Q301"/>
      <c r="R301"/>
      <c r="S301"/>
      <c r="T301"/>
      <c r="U301"/>
    </row>
    <row r="302" spans="12:21" x14ac:dyDescent="0.25">
      <c r="L302"/>
      <c r="M302"/>
      <c r="N302"/>
      <c r="O302"/>
      <c r="P302"/>
      <c r="Q302"/>
      <c r="R302"/>
      <c r="S302"/>
      <c r="T302"/>
      <c r="U302"/>
    </row>
    <row r="303" spans="12:21" x14ac:dyDescent="0.25">
      <c r="L303"/>
      <c r="M303"/>
      <c r="N303"/>
      <c r="O303"/>
      <c r="P303"/>
      <c r="Q303"/>
      <c r="R303"/>
      <c r="S303"/>
      <c r="T303"/>
      <c r="U303"/>
    </row>
    <row r="304" spans="12:21" x14ac:dyDescent="0.25">
      <c r="L304"/>
      <c r="M304"/>
      <c r="N304"/>
      <c r="O304"/>
      <c r="P304"/>
      <c r="Q304"/>
      <c r="R304"/>
      <c r="S304"/>
      <c r="T304"/>
      <c r="U304"/>
    </row>
    <row r="305" spans="12:21" x14ac:dyDescent="0.25">
      <c r="L305"/>
      <c r="M305"/>
      <c r="N305"/>
      <c r="O305"/>
      <c r="P305"/>
      <c r="Q305"/>
      <c r="R305"/>
      <c r="S305"/>
      <c r="T305"/>
      <c r="U305"/>
    </row>
    <row r="306" spans="12:21" x14ac:dyDescent="0.25">
      <c r="L306"/>
      <c r="M306"/>
      <c r="N306"/>
      <c r="O306"/>
      <c r="P306"/>
      <c r="Q306"/>
      <c r="R306"/>
      <c r="S306"/>
      <c r="T306"/>
      <c r="U306"/>
    </row>
    <row r="307" spans="12:21" x14ac:dyDescent="0.25">
      <c r="L307"/>
      <c r="M307"/>
      <c r="N307"/>
      <c r="O307"/>
      <c r="P307"/>
      <c r="Q307"/>
      <c r="R307"/>
      <c r="S307"/>
      <c r="T307"/>
      <c r="U307"/>
    </row>
    <row r="308" spans="12:21" x14ac:dyDescent="0.25">
      <c r="L308"/>
      <c r="M308"/>
      <c r="N308"/>
      <c r="O308"/>
      <c r="P308"/>
      <c r="Q308"/>
      <c r="R308"/>
      <c r="S308"/>
      <c r="T308"/>
      <c r="U308"/>
    </row>
    <row r="309" spans="12:21" x14ac:dyDescent="0.25">
      <c r="L309"/>
      <c r="M309"/>
      <c r="N309"/>
      <c r="O309"/>
      <c r="P309"/>
      <c r="Q309"/>
      <c r="R309"/>
      <c r="S309"/>
      <c r="T309"/>
      <c r="U309"/>
    </row>
    <row r="310" spans="12:21" x14ac:dyDescent="0.25">
      <c r="L310"/>
      <c r="M310"/>
      <c r="N310"/>
      <c r="O310"/>
      <c r="P310"/>
      <c r="Q310"/>
      <c r="R310"/>
      <c r="S310"/>
      <c r="T310"/>
      <c r="U310"/>
    </row>
    <row r="311" spans="12:21" x14ac:dyDescent="0.25">
      <c r="L311"/>
      <c r="M311"/>
      <c r="N311"/>
      <c r="O311"/>
      <c r="P311"/>
      <c r="Q311"/>
      <c r="R311"/>
      <c r="S311"/>
      <c r="T311"/>
      <c r="U311"/>
    </row>
    <row r="312" spans="12:21" x14ac:dyDescent="0.25">
      <c r="L312"/>
      <c r="M312"/>
      <c r="N312"/>
      <c r="O312"/>
      <c r="P312"/>
      <c r="Q312"/>
      <c r="R312"/>
      <c r="S312"/>
      <c r="T312"/>
      <c r="U312"/>
    </row>
    <row r="313" spans="12:21" x14ac:dyDescent="0.25">
      <c r="L313"/>
      <c r="M313"/>
      <c r="N313"/>
      <c r="O313"/>
      <c r="P313"/>
      <c r="Q313"/>
      <c r="R313"/>
      <c r="S313"/>
      <c r="T313"/>
      <c r="U313"/>
    </row>
    <row r="314" spans="12:21" x14ac:dyDescent="0.25">
      <c r="L314"/>
      <c r="M314"/>
      <c r="N314"/>
      <c r="O314"/>
      <c r="P314"/>
      <c r="Q314"/>
      <c r="R314"/>
      <c r="S314"/>
      <c r="T314"/>
      <c r="U314"/>
    </row>
    <row r="315" spans="12:21" x14ac:dyDescent="0.25">
      <c r="L315"/>
      <c r="M315"/>
      <c r="N315"/>
      <c r="O315"/>
      <c r="P315"/>
      <c r="Q315"/>
      <c r="R315"/>
      <c r="S315"/>
      <c r="T315"/>
      <c r="U315"/>
    </row>
    <row r="316" spans="12:21" x14ac:dyDescent="0.25">
      <c r="L316"/>
      <c r="M316"/>
      <c r="N316"/>
      <c r="O316"/>
      <c r="P316"/>
      <c r="Q316"/>
      <c r="R316"/>
      <c r="S316"/>
      <c r="T316"/>
      <c r="U316"/>
    </row>
    <row r="317" spans="12:21" x14ac:dyDescent="0.25">
      <c r="L317"/>
      <c r="M317"/>
      <c r="N317"/>
      <c r="O317"/>
      <c r="P317"/>
      <c r="Q317"/>
      <c r="R317"/>
      <c r="S317"/>
      <c r="T317"/>
      <c r="U317"/>
    </row>
    <row r="318" spans="12:21" x14ac:dyDescent="0.25">
      <c r="L318"/>
      <c r="M318"/>
      <c r="N318"/>
      <c r="O318"/>
      <c r="P318"/>
      <c r="Q318"/>
      <c r="R318"/>
      <c r="S318"/>
      <c r="T318"/>
      <c r="U318"/>
    </row>
    <row r="319" spans="12:21" x14ac:dyDescent="0.25">
      <c r="L319"/>
      <c r="M319"/>
      <c r="N319"/>
      <c r="O319"/>
      <c r="P319"/>
      <c r="Q319"/>
      <c r="R319"/>
      <c r="S319"/>
      <c r="T319"/>
      <c r="U319"/>
    </row>
    <row r="320" spans="12:21" x14ac:dyDescent="0.25">
      <c r="L320"/>
      <c r="M320"/>
      <c r="N320"/>
      <c r="O320"/>
      <c r="P320"/>
      <c r="Q320"/>
      <c r="R320"/>
      <c r="S320"/>
      <c r="T320"/>
      <c r="U320"/>
    </row>
    <row r="321" spans="12:21" x14ac:dyDescent="0.25">
      <c r="L321"/>
      <c r="M321"/>
      <c r="N321"/>
      <c r="O321"/>
      <c r="P321"/>
      <c r="Q321"/>
      <c r="R321"/>
      <c r="S321"/>
      <c r="T321"/>
      <c r="U321"/>
    </row>
    <row r="322" spans="12:21" x14ac:dyDescent="0.25">
      <c r="L322"/>
      <c r="M322"/>
      <c r="N322"/>
      <c r="O322"/>
      <c r="P322"/>
      <c r="Q322"/>
      <c r="R322"/>
      <c r="S322"/>
      <c r="T322"/>
      <c r="U322"/>
    </row>
    <row r="323" spans="12:21" x14ac:dyDescent="0.25">
      <c r="L323"/>
      <c r="M323"/>
      <c r="N323"/>
      <c r="O323"/>
      <c r="P323"/>
      <c r="Q323"/>
      <c r="R323"/>
      <c r="S323"/>
      <c r="T323"/>
      <c r="U323"/>
    </row>
    <row r="324" spans="12:21" x14ac:dyDescent="0.25">
      <c r="L324"/>
      <c r="M324"/>
      <c r="N324"/>
      <c r="O324"/>
      <c r="P324"/>
      <c r="Q324"/>
      <c r="R324"/>
      <c r="S324"/>
      <c r="T324"/>
      <c r="U324"/>
    </row>
    <row r="325" spans="12:21" x14ac:dyDescent="0.25">
      <c r="L325"/>
      <c r="M325"/>
      <c r="N325"/>
      <c r="O325"/>
      <c r="P325"/>
      <c r="Q325"/>
      <c r="R325"/>
      <c r="S325"/>
      <c r="T325"/>
      <c r="U325"/>
    </row>
    <row r="326" spans="12:21" x14ac:dyDescent="0.25">
      <c r="L326"/>
      <c r="M326"/>
      <c r="N326"/>
      <c r="O326"/>
      <c r="P326"/>
      <c r="Q326"/>
      <c r="R326"/>
      <c r="S326"/>
      <c r="T326"/>
      <c r="U326"/>
    </row>
    <row r="327" spans="12:21" x14ac:dyDescent="0.25">
      <c r="L327"/>
      <c r="M327"/>
      <c r="N327"/>
      <c r="O327"/>
      <c r="P327"/>
      <c r="Q327"/>
      <c r="R327"/>
      <c r="S327"/>
      <c r="T327"/>
      <c r="U327"/>
    </row>
    <row r="328" spans="12:21" x14ac:dyDescent="0.25">
      <c r="L328"/>
      <c r="M328"/>
      <c r="N328"/>
      <c r="O328"/>
      <c r="P328"/>
      <c r="Q328"/>
      <c r="R328"/>
      <c r="S328"/>
      <c r="T328"/>
      <c r="U328"/>
    </row>
    <row r="329" spans="12:21" x14ac:dyDescent="0.25">
      <c r="L329"/>
      <c r="M329"/>
      <c r="N329"/>
      <c r="O329"/>
      <c r="P329"/>
      <c r="Q329"/>
      <c r="R329"/>
      <c r="S329"/>
      <c r="T329"/>
      <c r="U329"/>
    </row>
    <row r="330" spans="12:21" x14ac:dyDescent="0.25">
      <c r="L330"/>
      <c r="M330"/>
      <c r="N330"/>
      <c r="O330"/>
      <c r="P330"/>
      <c r="Q330"/>
      <c r="R330"/>
      <c r="S330"/>
      <c r="T330"/>
      <c r="U330"/>
    </row>
    <row r="331" spans="12:21" x14ac:dyDescent="0.25">
      <c r="L331"/>
      <c r="M331"/>
      <c r="N331"/>
      <c r="O331"/>
      <c r="P331"/>
      <c r="Q331"/>
      <c r="R331"/>
      <c r="S331"/>
      <c r="T331"/>
      <c r="U331"/>
    </row>
    <row r="332" spans="12:21" x14ac:dyDescent="0.25">
      <c r="L332"/>
      <c r="M332"/>
      <c r="N332"/>
      <c r="O332"/>
      <c r="P332"/>
      <c r="Q332"/>
      <c r="R332"/>
      <c r="S332"/>
      <c r="T332"/>
      <c r="U332"/>
    </row>
    <row r="333" spans="12:21" x14ac:dyDescent="0.25">
      <c r="L333"/>
      <c r="M333"/>
      <c r="N333"/>
      <c r="O333"/>
      <c r="P333"/>
      <c r="Q333"/>
      <c r="R333"/>
      <c r="S333"/>
      <c r="T333"/>
      <c r="U333"/>
    </row>
    <row r="334" spans="12:21" x14ac:dyDescent="0.25">
      <c r="L334"/>
      <c r="M334"/>
      <c r="N334"/>
      <c r="O334"/>
      <c r="P334"/>
      <c r="Q334"/>
      <c r="R334"/>
      <c r="S334"/>
      <c r="T334"/>
      <c r="U334"/>
    </row>
    <row r="335" spans="12:21" x14ac:dyDescent="0.25">
      <c r="L335"/>
      <c r="M335"/>
      <c r="N335"/>
      <c r="O335"/>
      <c r="P335"/>
      <c r="Q335"/>
      <c r="R335"/>
      <c r="S335"/>
      <c r="T335"/>
      <c r="U335"/>
    </row>
    <row r="336" spans="12:21" x14ac:dyDescent="0.25">
      <c r="L336"/>
      <c r="M336"/>
      <c r="N336"/>
      <c r="O336"/>
      <c r="P336"/>
      <c r="Q336"/>
      <c r="R336"/>
      <c r="S336"/>
      <c r="T336"/>
      <c r="U336"/>
    </row>
    <row r="337" spans="12:21" x14ac:dyDescent="0.25">
      <c r="L337"/>
      <c r="M337"/>
      <c r="N337"/>
      <c r="O337"/>
      <c r="P337"/>
      <c r="Q337"/>
      <c r="R337"/>
      <c r="S337"/>
      <c r="T337"/>
      <c r="U337"/>
    </row>
    <row r="338" spans="12:21" x14ac:dyDescent="0.25">
      <c r="L338"/>
      <c r="M338"/>
      <c r="N338"/>
      <c r="O338"/>
      <c r="P338"/>
      <c r="Q338"/>
      <c r="R338"/>
      <c r="S338"/>
      <c r="T338"/>
      <c r="U338"/>
    </row>
    <row r="339" spans="12:21" x14ac:dyDescent="0.25">
      <c r="L339"/>
      <c r="M339"/>
      <c r="N339"/>
      <c r="O339"/>
      <c r="P339"/>
      <c r="Q339"/>
      <c r="R339"/>
      <c r="S339"/>
      <c r="T339"/>
      <c r="U339"/>
    </row>
    <row r="340" spans="12:21" x14ac:dyDescent="0.25">
      <c r="L340"/>
      <c r="M340"/>
      <c r="N340"/>
      <c r="O340"/>
      <c r="P340"/>
      <c r="Q340"/>
      <c r="R340"/>
      <c r="S340"/>
      <c r="T340"/>
      <c r="U340"/>
    </row>
    <row r="341" spans="12:21" x14ac:dyDescent="0.25">
      <c r="L341"/>
      <c r="M341"/>
      <c r="N341"/>
      <c r="O341"/>
      <c r="P341"/>
      <c r="Q341"/>
      <c r="R341"/>
      <c r="S341"/>
      <c r="T341"/>
      <c r="U341"/>
    </row>
    <row r="342" spans="12:21" x14ac:dyDescent="0.25">
      <c r="L342"/>
      <c r="M342"/>
      <c r="N342"/>
      <c r="O342"/>
      <c r="P342"/>
      <c r="Q342"/>
      <c r="R342"/>
      <c r="S342"/>
      <c r="T342"/>
      <c r="U342"/>
    </row>
    <row r="343" spans="12:21" x14ac:dyDescent="0.25">
      <c r="L343"/>
      <c r="M343"/>
      <c r="N343"/>
      <c r="O343"/>
      <c r="P343"/>
      <c r="Q343"/>
      <c r="R343"/>
      <c r="S343"/>
      <c r="T343"/>
      <c r="U343"/>
    </row>
    <row r="344" spans="12:21" x14ac:dyDescent="0.25">
      <c r="L344"/>
      <c r="M344"/>
      <c r="N344"/>
      <c r="O344"/>
      <c r="P344"/>
      <c r="Q344"/>
      <c r="R344"/>
      <c r="S344"/>
      <c r="T344"/>
      <c r="U344"/>
    </row>
    <row r="345" spans="12:21" x14ac:dyDescent="0.25">
      <c r="L345"/>
      <c r="M345"/>
      <c r="N345"/>
      <c r="O345"/>
      <c r="P345"/>
      <c r="Q345"/>
      <c r="R345"/>
      <c r="S345"/>
      <c r="T345"/>
      <c r="U345"/>
    </row>
    <row r="346" spans="12:21" x14ac:dyDescent="0.25">
      <c r="L346"/>
      <c r="M346"/>
      <c r="N346"/>
      <c r="O346"/>
      <c r="P346"/>
      <c r="Q346"/>
      <c r="R346"/>
      <c r="S346"/>
      <c r="T346"/>
      <c r="U346"/>
    </row>
    <row r="347" spans="12:21" x14ac:dyDescent="0.25">
      <c r="L347"/>
      <c r="M347"/>
      <c r="N347"/>
      <c r="O347"/>
      <c r="P347"/>
      <c r="Q347"/>
      <c r="R347"/>
      <c r="S347"/>
      <c r="T347"/>
      <c r="U347"/>
    </row>
    <row r="348" spans="12:21" x14ac:dyDescent="0.25">
      <c r="L348"/>
      <c r="M348"/>
      <c r="N348"/>
      <c r="O348"/>
      <c r="P348"/>
      <c r="Q348"/>
      <c r="R348"/>
      <c r="S348"/>
      <c r="T348"/>
      <c r="U348"/>
    </row>
    <row r="349" spans="12:21" x14ac:dyDescent="0.25">
      <c r="L349"/>
      <c r="M349"/>
      <c r="N349"/>
      <c r="O349"/>
      <c r="P349"/>
      <c r="Q349"/>
      <c r="R349"/>
      <c r="S349"/>
      <c r="T349"/>
      <c r="U349"/>
    </row>
    <row r="350" spans="12:21" x14ac:dyDescent="0.25">
      <c r="L350"/>
      <c r="M350"/>
      <c r="N350"/>
      <c r="O350"/>
      <c r="P350"/>
      <c r="Q350"/>
      <c r="R350"/>
      <c r="S350"/>
      <c r="T350"/>
      <c r="U350"/>
    </row>
    <row r="351" spans="12:21" x14ac:dyDescent="0.25">
      <c r="L351"/>
      <c r="M351"/>
      <c r="N351"/>
      <c r="O351"/>
      <c r="P351"/>
      <c r="Q351"/>
      <c r="R351"/>
      <c r="S351"/>
      <c r="T351"/>
      <c r="U351"/>
    </row>
    <row r="352" spans="12:21" x14ac:dyDescent="0.25">
      <c r="L352"/>
      <c r="M352"/>
      <c r="N352"/>
      <c r="O352"/>
      <c r="P352"/>
      <c r="Q352"/>
      <c r="R352"/>
      <c r="S352"/>
      <c r="T352"/>
      <c r="U352"/>
    </row>
    <row r="353" spans="12:21" x14ac:dyDescent="0.25">
      <c r="L353"/>
      <c r="M353"/>
      <c r="N353"/>
      <c r="O353"/>
      <c r="P353"/>
      <c r="Q353"/>
      <c r="R353"/>
      <c r="S353"/>
      <c r="T353"/>
      <c r="U353"/>
    </row>
    <row r="354" spans="12:21" x14ac:dyDescent="0.25">
      <c r="L354"/>
      <c r="M354"/>
      <c r="N354"/>
      <c r="O354"/>
      <c r="P354"/>
      <c r="Q354"/>
      <c r="R354"/>
      <c r="S354"/>
      <c r="T354"/>
      <c r="U354"/>
    </row>
    <row r="355" spans="12:21" x14ac:dyDescent="0.25">
      <c r="L355"/>
      <c r="M355"/>
      <c r="N355"/>
      <c r="O355"/>
      <c r="P355"/>
      <c r="Q355"/>
      <c r="R355"/>
      <c r="S355"/>
      <c r="T355"/>
      <c r="U355"/>
    </row>
    <row r="356" spans="12:21" x14ac:dyDescent="0.25">
      <c r="L356"/>
      <c r="M356"/>
      <c r="N356"/>
      <c r="O356"/>
      <c r="P356"/>
      <c r="Q356"/>
      <c r="R356"/>
      <c r="S356"/>
      <c r="T356"/>
      <c r="U356"/>
    </row>
    <row r="357" spans="12:21" x14ac:dyDescent="0.25">
      <c r="L357"/>
      <c r="M357"/>
      <c r="N357"/>
      <c r="O357"/>
      <c r="P357"/>
      <c r="Q357"/>
      <c r="R357"/>
      <c r="S357"/>
      <c r="T357"/>
      <c r="U357"/>
    </row>
    <row r="358" spans="12:21" x14ac:dyDescent="0.25">
      <c r="L358"/>
      <c r="M358"/>
      <c r="N358"/>
      <c r="O358"/>
      <c r="P358"/>
      <c r="Q358"/>
      <c r="R358"/>
      <c r="S358"/>
      <c r="T358"/>
      <c r="U358"/>
    </row>
    <row r="359" spans="12:21" x14ac:dyDescent="0.25">
      <c r="L359"/>
      <c r="M359"/>
      <c r="N359"/>
      <c r="O359"/>
      <c r="P359"/>
      <c r="Q359"/>
      <c r="R359"/>
      <c r="S359"/>
      <c r="T359"/>
      <c r="U359"/>
    </row>
    <row r="360" spans="12:21" x14ac:dyDescent="0.25">
      <c r="L360"/>
      <c r="M360"/>
      <c r="N360"/>
      <c r="O360"/>
      <c r="P360"/>
      <c r="Q360"/>
      <c r="R360"/>
      <c r="S360"/>
      <c r="T360"/>
      <c r="U360"/>
    </row>
    <row r="361" spans="12:21" x14ac:dyDescent="0.25">
      <c r="L361"/>
      <c r="M361"/>
      <c r="N361"/>
      <c r="O361"/>
      <c r="P361"/>
      <c r="Q361"/>
      <c r="R361"/>
      <c r="S361"/>
      <c r="T361"/>
      <c r="U361"/>
    </row>
    <row r="362" spans="12:21" x14ac:dyDescent="0.25">
      <c r="L362"/>
      <c r="M362"/>
      <c r="N362"/>
      <c r="O362"/>
      <c r="P362"/>
      <c r="Q362"/>
      <c r="R362"/>
      <c r="S362"/>
      <c r="T362"/>
      <c r="U362"/>
    </row>
    <row r="363" spans="12:21" x14ac:dyDescent="0.25">
      <c r="L363"/>
      <c r="M363"/>
      <c r="N363"/>
      <c r="O363"/>
      <c r="P363"/>
      <c r="Q363"/>
      <c r="R363"/>
      <c r="S363"/>
      <c r="T363"/>
      <c r="U363"/>
    </row>
    <row r="364" spans="12:21" x14ac:dyDescent="0.25">
      <c r="L364"/>
      <c r="M364"/>
      <c r="N364"/>
      <c r="O364"/>
      <c r="P364"/>
      <c r="Q364"/>
      <c r="R364"/>
      <c r="S364"/>
      <c r="T364"/>
      <c r="U364"/>
    </row>
    <row r="365" spans="12:21" x14ac:dyDescent="0.25">
      <c r="L365"/>
      <c r="M365"/>
      <c r="N365"/>
      <c r="O365"/>
      <c r="P365"/>
      <c r="Q365"/>
      <c r="R365"/>
      <c r="S365"/>
      <c r="T365"/>
      <c r="U365"/>
    </row>
    <row r="366" spans="12:21" x14ac:dyDescent="0.25">
      <c r="L366"/>
      <c r="M366"/>
      <c r="N366"/>
      <c r="O366"/>
      <c r="P366"/>
      <c r="Q366"/>
      <c r="R366"/>
      <c r="S366"/>
      <c r="T366"/>
      <c r="U366"/>
    </row>
    <row r="367" spans="12:21" x14ac:dyDescent="0.25">
      <c r="L367"/>
      <c r="M367"/>
      <c r="N367"/>
      <c r="O367"/>
      <c r="P367"/>
      <c r="Q367"/>
      <c r="R367"/>
      <c r="S367"/>
      <c r="T367"/>
      <c r="U367"/>
    </row>
    <row r="368" spans="12:21" x14ac:dyDescent="0.25">
      <c r="L368"/>
      <c r="M368"/>
      <c r="N368"/>
      <c r="O368"/>
      <c r="P368"/>
      <c r="Q368"/>
      <c r="R368"/>
      <c r="S368"/>
      <c r="T368"/>
      <c r="U368"/>
    </row>
    <row r="369" spans="12:21" x14ac:dyDescent="0.25">
      <c r="L369"/>
      <c r="M369"/>
      <c r="N369"/>
      <c r="O369"/>
      <c r="P369"/>
      <c r="Q369"/>
      <c r="R369"/>
      <c r="S369"/>
      <c r="T369"/>
      <c r="U369"/>
    </row>
    <row r="370" spans="12:21" x14ac:dyDescent="0.25">
      <c r="L370"/>
      <c r="M370"/>
      <c r="N370"/>
      <c r="O370"/>
      <c r="P370"/>
      <c r="Q370"/>
      <c r="R370"/>
      <c r="S370"/>
      <c r="T370"/>
      <c r="U370"/>
    </row>
    <row r="371" spans="12:21" x14ac:dyDescent="0.25">
      <c r="L371"/>
      <c r="M371"/>
      <c r="N371"/>
      <c r="O371"/>
      <c r="P371"/>
      <c r="Q371"/>
      <c r="R371"/>
      <c r="S371"/>
      <c r="T371"/>
      <c r="U371"/>
    </row>
    <row r="372" spans="12:21" x14ac:dyDescent="0.25">
      <c r="L372"/>
      <c r="M372"/>
      <c r="N372"/>
      <c r="O372"/>
      <c r="P372"/>
      <c r="Q372"/>
      <c r="R372"/>
      <c r="S372"/>
      <c r="T372"/>
      <c r="U372"/>
    </row>
    <row r="373" spans="12:21" x14ac:dyDescent="0.25">
      <c r="L373"/>
      <c r="M373"/>
      <c r="N373"/>
      <c r="O373"/>
      <c r="P373"/>
      <c r="Q373"/>
      <c r="R373"/>
      <c r="S373"/>
      <c r="T373"/>
      <c r="U373"/>
    </row>
    <row r="374" spans="12:21" x14ac:dyDescent="0.25">
      <c r="L374"/>
      <c r="M374"/>
      <c r="N374"/>
      <c r="O374"/>
      <c r="P374"/>
      <c r="Q374"/>
      <c r="R374"/>
      <c r="S374"/>
      <c r="T374"/>
      <c r="U374"/>
    </row>
    <row r="375" spans="12:21" x14ac:dyDescent="0.25">
      <c r="L375"/>
      <c r="M375"/>
      <c r="N375"/>
      <c r="O375"/>
      <c r="P375"/>
      <c r="Q375"/>
      <c r="R375"/>
      <c r="S375"/>
      <c r="T375"/>
      <c r="U375"/>
    </row>
    <row r="376" spans="12:21" x14ac:dyDescent="0.25">
      <c r="L376"/>
      <c r="M376"/>
      <c r="N376"/>
      <c r="O376"/>
      <c r="P376"/>
      <c r="Q376"/>
      <c r="R376"/>
      <c r="S376"/>
      <c r="T376"/>
      <c r="U376"/>
    </row>
    <row r="377" spans="12:21" x14ac:dyDescent="0.25">
      <c r="L377"/>
      <c r="M377"/>
      <c r="N377"/>
      <c r="O377"/>
      <c r="P377"/>
      <c r="Q377"/>
      <c r="R377"/>
      <c r="S377"/>
      <c r="T377"/>
      <c r="U377"/>
    </row>
    <row r="378" spans="12:21" x14ac:dyDescent="0.25">
      <c r="L378"/>
      <c r="M378"/>
      <c r="N378"/>
      <c r="O378"/>
      <c r="P378"/>
      <c r="Q378"/>
      <c r="R378"/>
      <c r="S378"/>
      <c r="T378"/>
      <c r="U378"/>
    </row>
    <row r="379" spans="12:21" x14ac:dyDescent="0.25">
      <c r="L379"/>
      <c r="M379"/>
      <c r="N379"/>
      <c r="O379"/>
      <c r="P379"/>
      <c r="Q379"/>
      <c r="R379"/>
      <c r="S379"/>
      <c r="T379"/>
      <c r="U379"/>
    </row>
    <row r="380" spans="12:21" x14ac:dyDescent="0.25">
      <c r="L380"/>
      <c r="M380"/>
      <c r="N380"/>
      <c r="O380"/>
      <c r="P380"/>
      <c r="Q380"/>
      <c r="R380"/>
      <c r="S380"/>
      <c r="T380"/>
      <c r="U380"/>
    </row>
    <row r="381" spans="12:21" x14ac:dyDescent="0.25">
      <c r="L381"/>
      <c r="M381"/>
      <c r="N381"/>
      <c r="O381"/>
      <c r="P381"/>
      <c r="Q381"/>
      <c r="R381"/>
      <c r="S381"/>
      <c r="T381"/>
      <c r="U381"/>
    </row>
    <row r="382" spans="12:21" x14ac:dyDescent="0.25">
      <c r="L382"/>
      <c r="M382"/>
      <c r="N382"/>
      <c r="O382"/>
      <c r="P382"/>
      <c r="Q382"/>
      <c r="R382"/>
      <c r="S382"/>
      <c r="T382"/>
      <c r="U382"/>
    </row>
    <row r="383" spans="12:21" x14ac:dyDescent="0.25">
      <c r="L383"/>
      <c r="M383"/>
      <c r="N383"/>
      <c r="O383"/>
      <c r="P383"/>
      <c r="Q383"/>
      <c r="R383"/>
      <c r="S383"/>
      <c r="T383"/>
      <c r="U383"/>
    </row>
    <row r="384" spans="12:21" x14ac:dyDescent="0.25">
      <c r="L384"/>
      <c r="M384"/>
      <c r="N384"/>
      <c r="O384"/>
      <c r="P384"/>
      <c r="Q384"/>
      <c r="R384"/>
      <c r="S384"/>
      <c r="T384"/>
      <c r="U384"/>
    </row>
    <row r="385" spans="12:21" x14ac:dyDescent="0.25">
      <c r="L385"/>
      <c r="M385"/>
      <c r="N385"/>
      <c r="O385"/>
      <c r="P385"/>
      <c r="Q385"/>
      <c r="R385"/>
      <c r="S385"/>
      <c r="T385"/>
      <c r="U385"/>
    </row>
    <row r="386" spans="12:21" x14ac:dyDescent="0.25">
      <c r="L386"/>
      <c r="M386"/>
      <c r="N386"/>
      <c r="O386"/>
      <c r="P386"/>
      <c r="Q386"/>
      <c r="R386"/>
      <c r="S386"/>
      <c r="T386"/>
      <c r="U386"/>
    </row>
    <row r="387" spans="12:21" x14ac:dyDescent="0.25">
      <c r="L387"/>
      <c r="M387"/>
      <c r="N387"/>
      <c r="O387"/>
      <c r="P387"/>
      <c r="Q387"/>
      <c r="R387"/>
      <c r="S387"/>
      <c r="T387"/>
      <c r="U387"/>
    </row>
    <row r="388" spans="12:21" x14ac:dyDescent="0.25">
      <c r="L388"/>
      <c r="M388"/>
      <c r="N388"/>
      <c r="O388"/>
      <c r="P388"/>
      <c r="Q388"/>
      <c r="R388"/>
      <c r="S388"/>
      <c r="T388"/>
      <c r="U388"/>
    </row>
    <row r="389" spans="12:21" x14ac:dyDescent="0.25">
      <c r="L389"/>
      <c r="M389"/>
      <c r="N389"/>
      <c r="O389"/>
      <c r="P389"/>
      <c r="Q389"/>
      <c r="R389"/>
      <c r="S389"/>
      <c r="T389"/>
      <c r="U389"/>
    </row>
    <row r="390" spans="12:21" x14ac:dyDescent="0.25">
      <c r="L390"/>
      <c r="M390"/>
      <c r="N390"/>
      <c r="O390"/>
      <c r="P390"/>
      <c r="Q390"/>
      <c r="R390"/>
      <c r="S390"/>
      <c r="T390"/>
      <c r="U390"/>
    </row>
    <row r="391" spans="12:21" x14ac:dyDescent="0.25">
      <c r="L391"/>
      <c r="M391"/>
      <c r="N391"/>
      <c r="O391"/>
      <c r="P391"/>
      <c r="Q391"/>
      <c r="R391"/>
      <c r="S391"/>
      <c r="T391"/>
      <c r="U391"/>
    </row>
    <row r="392" spans="12:21" x14ac:dyDescent="0.25">
      <c r="L392"/>
      <c r="M392"/>
      <c r="N392"/>
      <c r="O392"/>
      <c r="P392"/>
      <c r="Q392"/>
      <c r="R392"/>
      <c r="S392"/>
      <c r="T392"/>
      <c r="U392"/>
    </row>
    <row r="393" spans="12:21" x14ac:dyDescent="0.25">
      <c r="L393"/>
      <c r="M393"/>
      <c r="N393"/>
      <c r="O393"/>
      <c r="P393"/>
      <c r="Q393"/>
      <c r="R393"/>
      <c r="S393"/>
      <c r="T393"/>
      <c r="U393"/>
    </row>
    <row r="394" spans="12:21" x14ac:dyDescent="0.25">
      <c r="L394"/>
      <c r="M394"/>
      <c r="N394"/>
      <c r="O394"/>
      <c r="P394"/>
      <c r="Q394"/>
      <c r="R394"/>
      <c r="S394"/>
      <c r="T394"/>
      <c r="U394"/>
    </row>
    <row r="395" spans="12:21" x14ac:dyDescent="0.25">
      <c r="L395"/>
      <c r="M395"/>
      <c r="N395"/>
      <c r="O395"/>
      <c r="P395"/>
      <c r="Q395"/>
      <c r="R395"/>
      <c r="S395"/>
      <c r="T395"/>
      <c r="U395"/>
    </row>
    <row r="396" spans="12:21" x14ac:dyDescent="0.25">
      <c r="L396"/>
      <c r="M396"/>
      <c r="N396"/>
      <c r="O396"/>
      <c r="P396"/>
      <c r="Q396"/>
      <c r="R396"/>
      <c r="S396"/>
      <c r="T396"/>
      <c r="U396"/>
    </row>
    <row r="397" spans="12:21" x14ac:dyDescent="0.25">
      <c r="L397"/>
      <c r="M397"/>
      <c r="N397"/>
      <c r="O397"/>
      <c r="P397"/>
      <c r="Q397"/>
      <c r="R397"/>
      <c r="S397"/>
      <c r="T397"/>
      <c r="U397"/>
    </row>
    <row r="398" spans="12:21" x14ac:dyDescent="0.25">
      <c r="L398"/>
      <c r="M398"/>
      <c r="N398"/>
      <c r="O398"/>
      <c r="P398"/>
      <c r="Q398"/>
      <c r="R398"/>
      <c r="S398"/>
      <c r="T398"/>
      <c r="U398"/>
    </row>
    <row r="399" spans="12:21" x14ac:dyDescent="0.25">
      <c r="L399"/>
      <c r="M399"/>
      <c r="N399"/>
      <c r="O399"/>
      <c r="P399"/>
      <c r="Q399"/>
      <c r="R399"/>
      <c r="S399"/>
      <c r="T399"/>
      <c r="U399"/>
    </row>
    <row r="400" spans="12:21" x14ac:dyDescent="0.25">
      <c r="L400"/>
      <c r="M400"/>
      <c r="N400"/>
      <c r="O400"/>
      <c r="P400"/>
      <c r="Q400"/>
      <c r="R400"/>
      <c r="S400"/>
      <c r="T400"/>
      <c r="U400"/>
    </row>
    <row r="401" spans="12:21" x14ac:dyDescent="0.25">
      <c r="L401"/>
      <c r="M401"/>
      <c r="N401"/>
      <c r="O401"/>
      <c r="P401"/>
      <c r="Q401"/>
      <c r="R401"/>
      <c r="S401"/>
      <c r="T401"/>
      <c r="U401"/>
    </row>
    <row r="402" spans="12:21" x14ac:dyDescent="0.25">
      <c r="L402"/>
      <c r="M402"/>
      <c r="N402"/>
      <c r="O402"/>
      <c r="P402"/>
      <c r="Q402"/>
      <c r="R402"/>
      <c r="S402"/>
      <c r="T402"/>
      <c r="U402"/>
    </row>
    <row r="403" spans="12:21" x14ac:dyDescent="0.25">
      <c r="L403"/>
      <c r="M403"/>
      <c r="N403"/>
      <c r="O403"/>
      <c r="P403"/>
      <c r="Q403"/>
      <c r="R403"/>
      <c r="S403"/>
      <c r="T403"/>
      <c r="U403"/>
    </row>
    <row r="404" spans="12:21" x14ac:dyDescent="0.25">
      <c r="L404"/>
      <c r="M404"/>
      <c r="N404"/>
      <c r="O404"/>
      <c r="P404"/>
      <c r="Q404"/>
      <c r="R404"/>
      <c r="S404"/>
      <c r="T404"/>
      <c r="U404"/>
    </row>
    <row r="405" spans="12:21" x14ac:dyDescent="0.25">
      <c r="L405"/>
      <c r="M405"/>
      <c r="N405"/>
      <c r="O405"/>
      <c r="P405"/>
      <c r="Q405"/>
      <c r="R405"/>
      <c r="S405"/>
      <c r="T405"/>
      <c r="U405"/>
    </row>
    <row r="406" spans="12:21" x14ac:dyDescent="0.25">
      <c r="L406"/>
      <c r="M406"/>
      <c r="N406"/>
      <c r="O406"/>
      <c r="P406"/>
      <c r="Q406"/>
      <c r="R406"/>
      <c r="S406"/>
      <c r="T406"/>
      <c r="U406"/>
    </row>
    <row r="407" spans="12:21" x14ac:dyDescent="0.25">
      <c r="L407"/>
      <c r="M407"/>
      <c r="N407"/>
      <c r="O407"/>
      <c r="P407"/>
      <c r="Q407"/>
      <c r="R407"/>
      <c r="S407"/>
      <c r="T407"/>
      <c r="U407"/>
    </row>
    <row r="408" spans="12:21" x14ac:dyDescent="0.25">
      <c r="L408"/>
      <c r="M408"/>
      <c r="N408"/>
      <c r="O408"/>
      <c r="P408"/>
      <c r="Q408"/>
      <c r="R408"/>
      <c r="S408"/>
      <c r="T408"/>
      <c r="U408"/>
    </row>
    <row r="409" spans="12:21" x14ac:dyDescent="0.25">
      <c r="L409"/>
      <c r="M409"/>
      <c r="N409"/>
      <c r="O409"/>
      <c r="P409"/>
      <c r="Q409"/>
      <c r="R409"/>
      <c r="S409"/>
      <c r="T409"/>
      <c r="U409"/>
    </row>
    <row r="410" spans="12:21" x14ac:dyDescent="0.25">
      <c r="L410"/>
      <c r="M410"/>
      <c r="N410"/>
      <c r="O410"/>
      <c r="P410"/>
      <c r="Q410"/>
      <c r="R410"/>
      <c r="S410"/>
      <c r="T410"/>
      <c r="U410"/>
    </row>
    <row r="411" spans="12:21" x14ac:dyDescent="0.25">
      <c r="L411"/>
      <c r="M411"/>
      <c r="N411"/>
      <c r="O411"/>
      <c r="P411"/>
      <c r="Q411"/>
      <c r="R411"/>
      <c r="S411"/>
      <c r="T411"/>
      <c r="U411"/>
    </row>
    <row r="412" spans="12:21" x14ac:dyDescent="0.25">
      <c r="L412"/>
      <c r="M412"/>
      <c r="N412"/>
      <c r="O412"/>
      <c r="P412"/>
      <c r="Q412"/>
      <c r="R412"/>
      <c r="S412"/>
      <c r="T412"/>
      <c r="U412"/>
    </row>
    <row r="413" spans="12:21" x14ac:dyDescent="0.25">
      <c r="L413"/>
      <c r="M413"/>
      <c r="N413"/>
      <c r="O413"/>
      <c r="P413"/>
      <c r="Q413"/>
      <c r="R413"/>
      <c r="S413"/>
      <c r="T413"/>
      <c r="U413"/>
    </row>
    <row r="414" spans="12:21" x14ac:dyDescent="0.25">
      <c r="L414"/>
      <c r="M414"/>
      <c r="N414"/>
      <c r="O414"/>
      <c r="P414"/>
      <c r="Q414"/>
      <c r="R414"/>
      <c r="S414"/>
      <c r="T414"/>
      <c r="U414"/>
    </row>
    <row r="415" spans="12:21" x14ac:dyDescent="0.25">
      <c r="L415"/>
      <c r="M415"/>
      <c r="N415"/>
      <c r="O415"/>
      <c r="P415"/>
      <c r="Q415"/>
      <c r="R415"/>
      <c r="S415"/>
      <c r="T415"/>
      <c r="U415"/>
    </row>
    <row r="416" spans="12:21" x14ac:dyDescent="0.25">
      <c r="L416"/>
      <c r="M416"/>
      <c r="N416"/>
      <c r="O416"/>
      <c r="P416"/>
      <c r="Q416"/>
      <c r="R416"/>
      <c r="S416"/>
      <c r="T416"/>
      <c r="U416"/>
    </row>
    <row r="417" spans="12:21" x14ac:dyDescent="0.25">
      <c r="L417"/>
      <c r="M417"/>
      <c r="N417"/>
      <c r="O417"/>
      <c r="P417"/>
      <c r="Q417"/>
      <c r="R417"/>
      <c r="S417"/>
      <c r="T417"/>
      <c r="U417"/>
    </row>
    <row r="418" spans="12:21" x14ac:dyDescent="0.25">
      <c r="L418"/>
      <c r="M418"/>
      <c r="N418"/>
      <c r="O418"/>
      <c r="P418"/>
      <c r="Q418"/>
      <c r="R418"/>
      <c r="S418"/>
      <c r="T418"/>
      <c r="U418"/>
    </row>
    <row r="419" spans="12:21" x14ac:dyDescent="0.25">
      <c r="L419"/>
      <c r="M419"/>
      <c r="N419"/>
      <c r="O419"/>
      <c r="P419"/>
      <c r="Q419"/>
      <c r="R419"/>
      <c r="S419"/>
      <c r="T419"/>
      <c r="U419"/>
    </row>
    <row r="420" spans="12:21" x14ac:dyDescent="0.25">
      <c r="L420"/>
      <c r="M420"/>
      <c r="N420"/>
      <c r="O420"/>
      <c r="P420"/>
      <c r="Q420"/>
      <c r="R420"/>
      <c r="S420"/>
      <c r="T420"/>
      <c r="U420"/>
    </row>
    <row r="421" spans="12:21" x14ac:dyDescent="0.25">
      <c r="L421"/>
      <c r="M421"/>
      <c r="N421"/>
      <c r="O421"/>
      <c r="P421"/>
      <c r="Q421"/>
      <c r="R421"/>
      <c r="S421"/>
      <c r="T421"/>
      <c r="U421"/>
    </row>
    <row r="422" spans="12:21" x14ac:dyDescent="0.25">
      <c r="L422"/>
      <c r="M422"/>
      <c r="N422"/>
      <c r="O422"/>
      <c r="P422"/>
      <c r="Q422"/>
      <c r="R422"/>
      <c r="S422"/>
      <c r="T422"/>
      <c r="U422"/>
    </row>
    <row r="423" spans="12:21" x14ac:dyDescent="0.25">
      <c r="L423"/>
      <c r="M423"/>
      <c r="N423"/>
      <c r="O423"/>
      <c r="P423"/>
      <c r="Q423"/>
      <c r="R423"/>
      <c r="S423"/>
      <c r="T423"/>
      <c r="U423"/>
    </row>
    <row r="424" spans="12:21" x14ac:dyDescent="0.25">
      <c r="L424"/>
      <c r="M424"/>
      <c r="N424"/>
      <c r="O424"/>
      <c r="P424"/>
      <c r="Q424"/>
      <c r="R424"/>
      <c r="S424"/>
      <c r="T424"/>
      <c r="U424"/>
    </row>
    <row r="425" spans="12:21" x14ac:dyDescent="0.25">
      <c r="L425"/>
      <c r="M425"/>
      <c r="N425"/>
      <c r="O425"/>
      <c r="P425"/>
      <c r="Q425"/>
      <c r="R425"/>
      <c r="S425"/>
      <c r="T425"/>
      <c r="U425"/>
    </row>
    <row r="426" spans="12:21" x14ac:dyDescent="0.25">
      <c r="L426"/>
      <c r="M426"/>
      <c r="N426"/>
      <c r="O426"/>
      <c r="P426"/>
      <c r="Q426"/>
      <c r="R426"/>
      <c r="S426"/>
      <c r="T426"/>
      <c r="U426"/>
    </row>
    <row r="427" spans="12:21" x14ac:dyDescent="0.25">
      <c r="L427"/>
      <c r="M427"/>
      <c r="N427"/>
      <c r="O427"/>
      <c r="P427"/>
      <c r="Q427"/>
      <c r="R427"/>
      <c r="S427"/>
      <c r="T427"/>
      <c r="U427"/>
    </row>
    <row r="428" spans="12:21" x14ac:dyDescent="0.25">
      <c r="L428"/>
      <c r="M428"/>
      <c r="N428"/>
      <c r="O428"/>
      <c r="P428"/>
      <c r="Q428"/>
      <c r="R428"/>
      <c r="S428"/>
      <c r="T428"/>
      <c r="U428"/>
    </row>
    <row r="429" spans="12:21" x14ac:dyDescent="0.25">
      <c r="L429"/>
      <c r="M429"/>
      <c r="N429"/>
      <c r="O429"/>
      <c r="P429"/>
      <c r="Q429"/>
      <c r="R429"/>
      <c r="S429"/>
      <c r="T429"/>
      <c r="U429"/>
    </row>
    <row r="430" spans="12:21" x14ac:dyDescent="0.25">
      <c r="L430"/>
      <c r="M430"/>
      <c r="N430"/>
      <c r="O430"/>
      <c r="P430"/>
      <c r="Q430"/>
      <c r="R430"/>
      <c r="S430"/>
      <c r="T430"/>
      <c r="U430"/>
    </row>
    <row r="431" spans="12:21" x14ac:dyDescent="0.25">
      <c r="L431"/>
      <c r="M431"/>
      <c r="N431"/>
      <c r="O431"/>
      <c r="P431"/>
      <c r="Q431"/>
      <c r="R431"/>
      <c r="S431"/>
      <c r="T431"/>
      <c r="U431"/>
    </row>
    <row r="432" spans="12:21" x14ac:dyDescent="0.25">
      <c r="L432"/>
      <c r="M432"/>
      <c r="N432"/>
      <c r="O432"/>
      <c r="P432"/>
      <c r="Q432"/>
      <c r="R432"/>
      <c r="S432"/>
      <c r="T432"/>
      <c r="U432"/>
    </row>
    <row r="433" spans="12:21" x14ac:dyDescent="0.25">
      <c r="L433"/>
      <c r="M433"/>
      <c r="N433"/>
      <c r="O433"/>
      <c r="P433"/>
      <c r="Q433"/>
      <c r="R433"/>
      <c r="S433"/>
      <c r="T433"/>
      <c r="U433"/>
    </row>
    <row r="434" spans="12:21" x14ac:dyDescent="0.25">
      <c r="L434"/>
      <c r="M434"/>
      <c r="N434"/>
      <c r="O434"/>
      <c r="P434"/>
      <c r="Q434"/>
      <c r="R434"/>
      <c r="S434"/>
      <c r="T434"/>
      <c r="U434"/>
    </row>
    <row r="435" spans="12:21" x14ac:dyDescent="0.25">
      <c r="L435"/>
      <c r="M435"/>
      <c r="N435"/>
      <c r="O435"/>
      <c r="P435"/>
      <c r="Q435"/>
      <c r="R435"/>
      <c r="S435"/>
      <c r="T435"/>
      <c r="U435"/>
    </row>
    <row r="436" spans="12:21" x14ac:dyDescent="0.25">
      <c r="L436"/>
      <c r="M436"/>
      <c r="N436"/>
      <c r="O436"/>
      <c r="P436"/>
      <c r="Q436"/>
      <c r="R436"/>
      <c r="S436"/>
      <c r="T436"/>
      <c r="U436"/>
    </row>
    <row r="437" spans="12:21" x14ac:dyDescent="0.25">
      <c r="L437"/>
      <c r="M437"/>
      <c r="N437"/>
      <c r="O437"/>
      <c r="P437"/>
      <c r="Q437"/>
      <c r="R437"/>
      <c r="S437"/>
      <c r="T437"/>
      <c r="U437"/>
    </row>
    <row r="438" spans="12:21" x14ac:dyDescent="0.25">
      <c r="L438"/>
      <c r="M438"/>
      <c r="N438"/>
      <c r="O438"/>
      <c r="P438"/>
      <c r="Q438"/>
      <c r="R438"/>
      <c r="S438"/>
      <c r="T438"/>
      <c r="U438"/>
    </row>
    <row r="439" spans="12:21" x14ac:dyDescent="0.25">
      <c r="L439"/>
      <c r="M439"/>
      <c r="N439"/>
      <c r="O439"/>
      <c r="P439"/>
      <c r="Q439"/>
      <c r="R439"/>
      <c r="S439"/>
      <c r="T439"/>
      <c r="U439"/>
    </row>
    <row r="440" spans="12:21" x14ac:dyDescent="0.25">
      <c r="L440"/>
      <c r="M440"/>
      <c r="N440"/>
      <c r="O440"/>
      <c r="P440"/>
      <c r="Q440"/>
      <c r="R440"/>
      <c r="S440"/>
      <c r="T440"/>
      <c r="U440"/>
    </row>
    <row r="441" spans="12:21" x14ac:dyDescent="0.25">
      <c r="L441"/>
      <c r="M441"/>
      <c r="N441"/>
      <c r="O441"/>
      <c r="P441"/>
      <c r="Q441"/>
      <c r="R441"/>
      <c r="S441"/>
      <c r="T441"/>
      <c r="U441"/>
    </row>
    <row r="442" spans="12:21" x14ac:dyDescent="0.25">
      <c r="L442"/>
      <c r="M442"/>
      <c r="N442"/>
      <c r="O442"/>
      <c r="P442"/>
      <c r="Q442"/>
      <c r="R442"/>
      <c r="S442"/>
      <c r="T442"/>
      <c r="U442"/>
    </row>
    <row r="443" spans="12:21" x14ac:dyDescent="0.25">
      <c r="L443"/>
      <c r="M443"/>
      <c r="N443"/>
      <c r="O443"/>
      <c r="P443"/>
      <c r="Q443"/>
      <c r="R443"/>
      <c r="S443"/>
      <c r="T443"/>
      <c r="U443"/>
    </row>
    <row r="444" spans="12:21" x14ac:dyDescent="0.25">
      <c r="L444"/>
      <c r="M444"/>
      <c r="N444"/>
      <c r="O444"/>
      <c r="P444"/>
      <c r="Q444"/>
      <c r="R444"/>
      <c r="S444"/>
      <c r="T444"/>
      <c r="U444"/>
    </row>
    <row r="445" spans="12:21" x14ac:dyDescent="0.25">
      <c r="L445"/>
      <c r="M445"/>
      <c r="N445"/>
      <c r="O445"/>
      <c r="P445"/>
      <c r="Q445"/>
      <c r="R445"/>
      <c r="S445"/>
      <c r="T445"/>
      <c r="U445"/>
    </row>
    <row r="446" spans="12:21" x14ac:dyDescent="0.25">
      <c r="L446"/>
      <c r="M446"/>
      <c r="N446"/>
      <c r="O446"/>
      <c r="P446"/>
      <c r="Q446"/>
      <c r="R446"/>
      <c r="S446"/>
      <c r="T446"/>
      <c r="U446"/>
    </row>
    <row r="447" spans="12:21" x14ac:dyDescent="0.25">
      <c r="L447"/>
      <c r="M447"/>
      <c r="N447"/>
      <c r="O447"/>
      <c r="P447"/>
      <c r="Q447"/>
      <c r="R447"/>
      <c r="S447"/>
      <c r="T447"/>
      <c r="U447"/>
    </row>
    <row r="448" spans="12:21" x14ac:dyDescent="0.25">
      <c r="L448"/>
      <c r="M448"/>
      <c r="N448"/>
      <c r="O448"/>
      <c r="P448"/>
      <c r="Q448"/>
      <c r="R448"/>
      <c r="S448"/>
      <c r="T448"/>
      <c r="U448"/>
    </row>
    <row r="449" spans="12:21" x14ac:dyDescent="0.25">
      <c r="L449"/>
      <c r="M449"/>
      <c r="N449"/>
      <c r="O449"/>
      <c r="P449"/>
      <c r="Q449"/>
      <c r="R449"/>
      <c r="S449"/>
      <c r="T449"/>
      <c r="U449"/>
    </row>
    <row r="450" spans="12:21" x14ac:dyDescent="0.25">
      <c r="L450"/>
      <c r="M450"/>
      <c r="N450"/>
      <c r="O450"/>
      <c r="P450"/>
      <c r="Q450"/>
      <c r="R450"/>
      <c r="S450"/>
      <c r="T450"/>
      <c r="U450"/>
    </row>
    <row r="451" spans="12:21" x14ac:dyDescent="0.25">
      <c r="L451"/>
      <c r="M451"/>
      <c r="N451"/>
      <c r="O451"/>
      <c r="P451"/>
      <c r="Q451"/>
      <c r="R451"/>
      <c r="S451"/>
      <c r="T451"/>
      <c r="U451"/>
    </row>
    <row r="452" spans="12:21" x14ac:dyDescent="0.25">
      <c r="L452"/>
      <c r="M452"/>
      <c r="N452"/>
      <c r="O452"/>
      <c r="P452"/>
      <c r="Q452"/>
      <c r="R452"/>
      <c r="S452"/>
      <c r="T452"/>
      <c r="U452"/>
    </row>
    <row r="453" spans="12:21" x14ac:dyDescent="0.25">
      <c r="L453"/>
      <c r="M453"/>
      <c r="N453"/>
      <c r="O453"/>
      <c r="P453"/>
      <c r="Q453"/>
      <c r="R453"/>
      <c r="S453"/>
      <c r="T453"/>
      <c r="U453"/>
    </row>
    <row r="454" spans="12:21" x14ac:dyDescent="0.25">
      <c r="L454"/>
      <c r="M454"/>
      <c r="N454"/>
      <c r="O454"/>
      <c r="P454"/>
      <c r="Q454"/>
      <c r="R454"/>
      <c r="S454"/>
      <c r="T454"/>
      <c r="U454"/>
    </row>
    <row r="455" spans="12:21" x14ac:dyDescent="0.25">
      <c r="L455"/>
      <c r="M455"/>
      <c r="N455"/>
      <c r="O455"/>
      <c r="P455"/>
      <c r="Q455"/>
      <c r="R455"/>
      <c r="S455"/>
      <c r="T455"/>
      <c r="U455"/>
    </row>
    <row r="456" spans="12:21" x14ac:dyDescent="0.25">
      <c r="L456"/>
      <c r="M456"/>
      <c r="N456"/>
      <c r="O456"/>
      <c r="P456"/>
      <c r="Q456"/>
      <c r="R456"/>
      <c r="S456"/>
      <c r="T456"/>
      <c r="U456"/>
    </row>
    <row r="457" spans="12:21" x14ac:dyDescent="0.25">
      <c r="L457"/>
      <c r="M457"/>
      <c r="N457"/>
      <c r="O457"/>
      <c r="P457"/>
      <c r="Q457"/>
      <c r="R457"/>
      <c r="S457"/>
      <c r="T457"/>
      <c r="U457"/>
    </row>
    <row r="458" spans="12:21" x14ac:dyDescent="0.25">
      <c r="L458"/>
      <c r="M458"/>
      <c r="N458"/>
      <c r="O458"/>
      <c r="P458"/>
      <c r="Q458"/>
      <c r="R458"/>
      <c r="S458"/>
      <c r="T458"/>
      <c r="U458"/>
    </row>
    <row r="459" spans="12:21" x14ac:dyDescent="0.25">
      <c r="L459"/>
      <c r="M459"/>
      <c r="N459"/>
      <c r="O459"/>
      <c r="P459"/>
      <c r="Q459"/>
      <c r="R459"/>
      <c r="S459"/>
      <c r="T459"/>
      <c r="U459"/>
    </row>
    <row r="460" spans="12:21" x14ac:dyDescent="0.25">
      <c r="L460"/>
      <c r="M460"/>
      <c r="N460"/>
      <c r="O460"/>
      <c r="P460"/>
      <c r="Q460"/>
      <c r="R460"/>
      <c r="S460"/>
      <c r="T460"/>
      <c r="U460"/>
    </row>
    <row r="461" spans="12:21" x14ac:dyDescent="0.25">
      <c r="L461"/>
      <c r="M461"/>
      <c r="N461"/>
      <c r="O461"/>
      <c r="P461"/>
      <c r="Q461"/>
      <c r="R461"/>
      <c r="S461"/>
      <c r="T461"/>
      <c r="U461"/>
    </row>
    <row r="462" spans="12:21" x14ac:dyDescent="0.25">
      <c r="L462"/>
      <c r="M462"/>
      <c r="N462"/>
      <c r="O462"/>
      <c r="P462"/>
      <c r="Q462"/>
      <c r="R462"/>
      <c r="S462"/>
      <c r="T462"/>
      <c r="U462"/>
    </row>
    <row r="463" spans="12:21" x14ac:dyDescent="0.25">
      <c r="L463"/>
      <c r="M463"/>
      <c r="N463"/>
      <c r="O463"/>
      <c r="P463"/>
      <c r="Q463"/>
      <c r="R463"/>
      <c r="S463"/>
      <c r="T463"/>
      <c r="U463"/>
    </row>
    <row r="464" spans="12:21" x14ac:dyDescent="0.25">
      <c r="L464"/>
      <c r="M464"/>
      <c r="N464"/>
      <c r="O464"/>
      <c r="P464"/>
      <c r="Q464"/>
      <c r="R464"/>
      <c r="S464"/>
      <c r="T464"/>
      <c r="U464"/>
    </row>
    <row r="465" spans="12:21" x14ac:dyDescent="0.25">
      <c r="L465"/>
      <c r="M465"/>
      <c r="N465"/>
      <c r="O465"/>
      <c r="P465"/>
      <c r="Q465"/>
      <c r="R465"/>
      <c r="S465"/>
      <c r="T465"/>
      <c r="U465"/>
    </row>
    <row r="466" spans="12:21" x14ac:dyDescent="0.25">
      <c r="L466"/>
      <c r="M466"/>
      <c r="N466"/>
      <c r="O466"/>
      <c r="P466"/>
      <c r="Q466"/>
      <c r="R466"/>
      <c r="S466"/>
      <c r="T466"/>
      <c r="U466"/>
    </row>
    <row r="467" spans="12:21" x14ac:dyDescent="0.25">
      <c r="L467"/>
      <c r="M467"/>
      <c r="N467"/>
      <c r="O467"/>
      <c r="P467"/>
      <c r="Q467"/>
      <c r="R467"/>
      <c r="S467"/>
      <c r="T467"/>
      <c r="U467"/>
    </row>
    <row r="468" spans="12:21" x14ac:dyDescent="0.25">
      <c r="L468"/>
      <c r="M468"/>
      <c r="N468"/>
      <c r="O468"/>
      <c r="P468"/>
      <c r="Q468"/>
      <c r="R468"/>
      <c r="S468"/>
      <c r="T468"/>
      <c r="U468"/>
    </row>
    <row r="469" spans="12:21" x14ac:dyDescent="0.25">
      <c r="L469"/>
      <c r="M469"/>
      <c r="N469"/>
      <c r="O469"/>
      <c r="P469"/>
      <c r="Q469"/>
      <c r="R469"/>
      <c r="S469"/>
      <c r="T469"/>
      <c r="U469"/>
    </row>
    <row r="470" spans="12:21" x14ac:dyDescent="0.25">
      <c r="L470"/>
      <c r="M470"/>
      <c r="N470"/>
      <c r="O470"/>
      <c r="P470"/>
      <c r="Q470"/>
      <c r="R470"/>
      <c r="S470"/>
      <c r="T470"/>
      <c r="U470"/>
    </row>
    <row r="471" spans="12:21" x14ac:dyDescent="0.25">
      <c r="L471"/>
      <c r="M471"/>
      <c r="N471"/>
      <c r="O471"/>
      <c r="P471"/>
      <c r="Q471"/>
      <c r="R471"/>
      <c r="S471"/>
      <c r="T471"/>
      <c r="U471"/>
    </row>
    <row r="472" spans="12:21" x14ac:dyDescent="0.25">
      <c r="L472"/>
      <c r="M472"/>
      <c r="N472"/>
      <c r="O472"/>
      <c r="P472"/>
      <c r="Q472"/>
      <c r="R472"/>
      <c r="S472"/>
      <c r="T472"/>
      <c r="U472"/>
    </row>
    <row r="473" spans="12:21" x14ac:dyDescent="0.25">
      <c r="L473"/>
      <c r="M473"/>
      <c r="N473"/>
      <c r="O473"/>
      <c r="P473"/>
      <c r="Q473"/>
      <c r="R473"/>
      <c r="S473"/>
      <c r="T473"/>
      <c r="U473"/>
    </row>
    <row r="474" spans="12:21" x14ac:dyDescent="0.25">
      <c r="L474"/>
      <c r="M474"/>
      <c r="N474"/>
      <c r="O474"/>
      <c r="P474"/>
      <c r="Q474"/>
      <c r="R474"/>
      <c r="S474"/>
      <c r="T474"/>
      <c r="U474"/>
    </row>
    <row r="475" spans="12:21" x14ac:dyDescent="0.25">
      <c r="L475"/>
      <c r="M475"/>
      <c r="N475"/>
      <c r="O475"/>
      <c r="P475"/>
      <c r="Q475"/>
      <c r="R475"/>
      <c r="S475"/>
      <c r="T475"/>
      <c r="U475"/>
    </row>
    <row r="476" spans="12:21" x14ac:dyDescent="0.25">
      <c r="L476"/>
      <c r="M476"/>
      <c r="N476"/>
      <c r="O476"/>
      <c r="P476"/>
      <c r="Q476"/>
      <c r="R476"/>
      <c r="S476"/>
      <c r="T476"/>
      <c r="U476"/>
    </row>
    <row r="477" spans="12:21" x14ac:dyDescent="0.25">
      <c r="L477"/>
      <c r="M477"/>
      <c r="N477"/>
      <c r="O477"/>
      <c r="P477"/>
      <c r="Q477"/>
      <c r="R477"/>
      <c r="S477"/>
      <c r="T477"/>
      <c r="U477"/>
    </row>
    <row r="478" spans="12:21" x14ac:dyDescent="0.25">
      <c r="L478"/>
      <c r="M478"/>
      <c r="N478"/>
      <c r="O478"/>
      <c r="P478"/>
      <c r="Q478"/>
      <c r="R478"/>
      <c r="S478"/>
      <c r="T478"/>
      <c r="U478"/>
    </row>
    <row r="479" spans="12:21" x14ac:dyDescent="0.25">
      <c r="L479"/>
      <c r="M479"/>
      <c r="N479"/>
      <c r="O479"/>
      <c r="P479"/>
      <c r="Q479"/>
      <c r="R479"/>
      <c r="S479"/>
      <c r="T479"/>
      <c r="U479"/>
    </row>
    <row r="480" spans="12:21" x14ac:dyDescent="0.25">
      <c r="L480"/>
      <c r="M480"/>
      <c r="N480"/>
      <c r="O480"/>
      <c r="P480"/>
      <c r="Q480"/>
      <c r="R480"/>
      <c r="S480"/>
      <c r="T480"/>
      <c r="U480"/>
    </row>
    <row r="481" spans="12:21" x14ac:dyDescent="0.25">
      <c r="L481"/>
      <c r="M481"/>
      <c r="N481"/>
      <c r="O481"/>
      <c r="P481"/>
      <c r="Q481"/>
      <c r="R481"/>
      <c r="S481"/>
      <c r="T481"/>
      <c r="U481"/>
    </row>
    <row r="482" spans="12:21" x14ac:dyDescent="0.25">
      <c r="L482"/>
      <c r="M482"/>
      <c r="N482"/>
      <c r="O482"/>
      <c r="P482"/>
      <c r="Q482"/>
      <c r="R482"/>
      <c r="S482"/>
      <c r="T482"/>
      <c r="U482"/>
    </row>
    <row r="483" spans="12:21" x14ac:dyDescent="0.25">
      <c r="L483"/>
      <c r="M483"/>
      <c r="N483"/>
      <c r="O483"/>
      <c r="P483"/>
      <c r="Q483"/>
      <c r="R483"/>
      <c r="S483"/>
      <c r="T483"/>
      <c r="U483"/>
    </row>
    <row r="484" spans="12:21" x14ac:dyDescent="0.25">
      <c r="L484"/>
      <c r="M484"/>
      <c r="N484"/>
      <c r="O484"/>
      <c r="P484"/>
      <c r="Q484"/>
      <c r="R484"/>
      <c r="S484"/>
      <c r="T484"/>
      <c r="U484"/>
    </row>
    <row r="485" spans="12:21" x14ac:dyDescent="0.25">
      <c r="L485"/>
      <c r="M485"/>
      <c r="N485"/>
      <c r="O485"/>
      <c r="P485"/>
      <c r="Q485"/>
      <c r="R485"/>
      <c r="S485"/>
      <c r="T485"/>
      <c r="U485"/>
    </row>
    <row r="486" spans="12:21" x14ac:dyDescent="0.25">
      <c r="L486"/>
      <c r="M486"/>
      <c r="N486"/>
      <c r="O486"/>
      <c r="P486"/>
      <c r="Q486"/>
      <c r="R486"/>
      <c r="S486"/>
      <c r="T486"/>
      <c r="U486"/>
    </row>
    <row r="487" spans="12:21" x14ac:dyDescent="0.25">
      <c r="L487"/>
      <c r="M487"/>
      <c r="N487"/>
      <c r="O487"/>
      <c r="P487"/>
      <c r="Q487"/>
      <c r="R487"/>
      <c r="S487"/>
      <c r="T487"/>
      <c r="U487"/>
    </row>
    <row r="488" spans="12:21" x14ac:dyDescent="0.25">
      <c r="L488"/>
      <c r="M488"/>
      <c r="N488"/>
      <c r="O488"/>
      <c r="P488"/>
      <c r="Q488"/>
      <c r="R488"/>
      <c r="S488"/>
      <c r="T488"/>
      <c r="U488"/>
    </row>
    <row r="489" spans="12:21" x14ac:dyDescent="0.25">
      <c r="L489"/>
      <c r="M489"/>
      <c r="N489"/>
      <c r="O489"/>
      <c r="P489"/>
      <c r="Q489"/>
      <c r="R489"/>
      <c r="S489"/>
      <c r="T489"/>
      <c r="U489"/>
    </row>
    <row r="490" spans="12:21" x14ac:dyDescent="0.25">
      <c r="L490"/>
      <c r="M490"/>
      <c r="N490"/>
      <c r="O490"/>
      <c r="P490"/>
      <c r="Q490"/>
      <c r="R490"/>
      <c r="S490"/>
      <c r="T490"/>
      <c r="U490"/>
    </row>
    <row r="491" spans="12:21" x14ac:dyDescent="0.25">
      <c r="L491"/>
      <c r="M491"/>
      <c r="N491"/>
      <c r="O491"/>
      <c r="P491"/>
      <c r="Q491"/>
      <c r="R491"/>
      <c r="S491"/>
      <c r="T491"/>
      <c r="U491"/>
    </row>
    <row r="492" spans="12:21" x14ac:dyDescent="0.25">
      <c r="L492"/>
      <c r="M492"/>
      <c r="N492"/>
      <c r="O492"/>
      <c r="P492"/>
      <c r="Q492"/>
      <c r="R492"/>
      <c r="S492"/>
      <c r="T492"/>
      <c r="U492"/>
    </row>
    <row r="493" spans="12:21" x14ac:dyDescent="0.25">
      <c r="L493"/>
      <c r="M493"/>
      <c r="N493"/>
      <c r="O493"/>
      <c r="P493"/>
      <c r="Q493"/>
      <c r="R493"/>
      <c r="S493"/>
      <c r="T493"/>
      <c r="U493"/>
    </row>
    <row r="494" spans="12:21" x14ac:dyDescent="0.25">
      <c r="L494"/>
      <c r="M494"/>
      <c r="N494"/>
      <c r="O494"/>
      <c r="P494"/>
      <c r="Q494"/>
      <c r="R494"/>
      <c r="S494"/>
      <c r="T494"/>
      <c r="U494"/>
    </row>
    <row r="495" spans="12:21" x14ac:dyDescent="0.25">
      <c r="L495"/>
      <c r="M495"/>
      <c r="N495"/>
      <c r="O495"/>
      <c r="P495"/>
      <c r="Q495"/>
      <c r="R495"/>
      <c r="S495"/>
      <c r="T495"/>
      <c r="U495"/>
    </row>
    <row r="496" spans="12:21" x14ac:dyDescent="0.25">
      <c r="L496"/>
      <c r="M496"/>
      <c r="N496"/>
      <c r="O496"/>
      <c r="P496"/>
      <c r="Q496"/>
      <c r="R496"/>
      <c r="S496"/>
      <c r="T496"/>
      <c r="U496"/>
    </row>
    <row r="497" spans="12:21" x14ac:dyDescent="0.25">
      <c r="L497"/>
      <c r="M497"/>
      <c r="N497"/>
      <c r="O497"/>
      <c r="P497"/>
      <c r="Q497"/>
      <c r="R497"/>
      <c r="S497"/>
      <c r="T497"/>
      <c r="U497"/>
    </row>
    <row r="498" spans="12:21" x14ac:dyDescent="0.25">
      <c r="L498"/>
      <c r="M498"/>
      <c r="N498"/>
      <c r="O498"/>
      <c r="P498"/>
      <c r="Q498"/>
      <c r="R498"/>
      <c r="S498"/>
      <c r="T498"/>
      <c r="U498"/>
    </row>
    <row r="499" spans="12:21" x14ac:dyDescent="0.25">
      <c r="L499"/>
      <c r="M499"/>
      <c r="N499"/>
      <c r="O499"/>
      <c r="P499"/>
      <c r="Q499"/>
      <c r="R499"/>
      <c r="S499"/>
      <c r="T499"/>
      <c r="U499"/>
    </row>
    <row r="500" spans="12:21" x14ac:dyDescent="0.25">
      <c r="L500"/>
      <c r="M500"/>
      <c r="N500"/>
      <c r="O500"/>
      <c r="P500"/>
      <c r="Q500"/>
      <c r="R500"/>
      <c r="S500"/>
      <c r="T500"/>
      <c r="U500"/>
    </row>
    <row r="501" spans="12:21" x14ac:dyDescent="0.25">
      <c r="L501"/>
      <c r="M501"/>
      <c r="N501"/>
      <c r="O501"/>
      <c r="P501"/>
      <c r="Q501"/>
      <c r="R501"/>
      <c r="S501"/>
      <c r="T501"/>
      <c r="U501"/>
    </row>
    <row r="502" spans="12:21" x14ac:dyDescent="0.25">
      <c r="L502"/>
      <c r="M502"/>
      <c r="N502"/>
      <c r="O502"/>
      <c r="P502"/>
      <c r="Q502"/>
      <c r="R502"/>
      <c r="S502"/>
      <c r="T502"/>
      <c r="U502"/>
    </row>
    <row r="503" spans="12:21" x14ac:dyDescent="0.25">
      <c r="L503"/>
      <c r="M503"/>
      <c r="N503"/>
      <c r="O503"/>
      <c r="P503"/>
      <c r="Q503"/>
      <c r="R503"/>
      <c r="S503"/>
      <c r="T503"/>
      <c r="U503"/>
    </row>
    <row r="504" spans="12:21" x14ac:dyDescent="0.25">
      <c r="L504"/>
      <c r="M504"/>
      <c r="N504"/>
      <c r="O504"/>
      <c r="P504"/>
      <c r="Q504"/>
      <c r="R504"/>
      <c r="S504"/>
      <c r="T504"/>
      <c r="U504"/>
    </row>
    <row r="505" spans="12:21" x14ac:dyDescent="0.25">
      <c r="L505"/>
      <c r="M505"/>
      <c r="N505"/>
      <c r="O505"/>
      <c r="P505"/>
      <c r="Q505"/>
      <c r="R505"/>
      <c r="S505"/>
      <c r="T505"/>
      <c r="U505"/>
    </row>
    <row r="506" spans="12:21" x14ac:dyDescent="0.25">
      <c r="L506"/>
      <c r="M506"/>
      <c r="N506"/>
      <c r="O506"/>
      <c r="P506"/>
      <c r="Q506"/>
      <c r="R506"/>
      <c r="S506"/>
      <c r="T506"/>
      <c r="U506"/>
    </row>
    <row r="507" spans="12:21" x14ac:dyDescent="0.25">
      <c r="L507"/>
      <c r="M507"/>
      <c r="N507"/>
      <c r="O507"/>
      <c r="P507"/>
      <c r="Q507"/>
      <c r="R507"/>
      <c r="S507"/>
      <c r="T507"/>
      <c r="U507"/>
    </row>
    <row r="508" spans="12:21" x14ac:dyDescent="0.25">
      <c r="L508"/>
      <c r="M508"/>
      <c r="N508"/>
      <c r="O508"/>
      <c r="P508"/>
      <c r="Q508"/>
      <c r="R508"/>
      <c r="S508"/>
      <c r="T508"/>
      <c r="U508"/>
    </row>
    <row r="509" spans="12:21" x14ac:dyDescent="0.25">
      <c r="L509"/>
      <c r="M509"/>
      <c r="N509"/>
      <c r="O509"/>
      <c r="P509"/>
      <c r="Q509"/>
      <c r="R509"/>
      <c r="S509"/>
      <c r="T509"/>
      <c r="U509"/>
    </row>
    <row r="510" spans="12:21" x14ac:dyDescent="0.25">
      <c r="L510"/>
      <c r="M510"/>
      <c r="N510"/>
      <c r="O510"/>
      <c r="P510"/>
      <c r="Q510"/>
      <c r="R510"/>
      <c r="S510"/>
      <c r="T510"/>
      <c r="U510"/>
    </row>
    <row r="511" spans="12:21" x14ac:dyDescent="0.25">
      <c r="L511"/>
      <c r="M511"/>
      <c r="N511"/>
      <c r="O511"/>
      <c r="P511"/>
      <c r="Q511"/>
      <c r="R511"/>
      <c r="S511"/>
      <c r="T511"/>
      <c r="U511"/>
    </row>
    <row r="512" spans="12:21" x14ac:dyDescent="0.25">
      <c r="L512"/>
      <c r="M512"/>
      <c r="N512"/>
      <c r="O512"/>
      <c r="P512"/>
      <c r="Q512"/>
      <c r="R512"/>
      <c r="S512"/>
      <c r="T512"/>
      <c r="U512"/>
    </row>
    <row r="513" spans="12:21" x14ac:dyDescent="0.25">
      <c r="L513"/>
      <c r="M513"/>
      <c r="N513"/>
      <c r="O513"/>
      <c r="P513"/>
      <c r="Q513"/>
      <c r="R513"/>
      <c r="S513"/>
      <c r="T513"/>
      <c r="U513"/>
    </row>
    <row r="514" spans="12:21" x14ac:dyDescent="0.25">
      <c r="L514"/>
      <c r="M514"/>
      <c r="N514"/>
      <c r="O514"/>
      <c r="P514"/>
      <c r="Q514"/>
      <c r="R514"/>
      <c r="S514"/>
      <c r="T514"/>
      <c r="U514"/>
    </row>
    <row r="515" spans="12:21" x14ac:dyDescent="0.25">
      <c r="L515"/>
      <c r="M515"/>
      <c r="N515"/>
      <c r="O515"/>
      <c r="P515"/>
      <c r="Q515"/>
      <c r="R515"/>
      <c r="S515"/>
      <c r="T515"/>
      <c r="U515"/>
    </row>
    <row r="516" spans="12:21" x14ac:dyDescent="0.25">
      <c r="L516"/>
      <c r="M516"/>
      <c r="N516"/>
      <c r="O516"/>
      <c r="P516"/>
      <c r="Q516"/>
      <c r="R516"/>
      <c r="S516"/>
      <c r="T516"/>
      <c r="U516"/>
    </row>
    <row r="517" spans="12:21" x14ac:dyDescent="0.25">
      <c r="L517"/>
      <c r="M517"/>
      <c r="N517"/>
      <c r="O517"/>
      <c r="P517"/>
      <c r="Q517"/>
      <c r="R517"/>
      <c r="S517"/>
      <c r="T517"/>
      <c r="U517"/>
    </row>
    <row r="518" spans="12:21" x14ac:dyDescent="0.25">
      <c r="L518"/>
      <c r="M518"/>
      <c r="N518"/>
      <c r="O518"/>
      <c r="P518"/>
      <c r="Q518"/>
      <c r="R518"/>
      <c r="S518"/>
      <c r="T518"/>
      <c r="U518"/>
    </row>
    <row r="519" spans="12:21" x14ac:dyDescent="0.25">
      <c r="L519"/>
      <c r="M519"/>
      <c r="N519"/>
      <c r="O519"/>
      <c r="P519"/>
      <c r="Q519"/>
      <c r="R519"/>
      <c r="S519"/>
      <c r="T519"/>
      <c r="U519"/>
    </row>
    <row r="520" spans="12:21" x14ac:dyDescent="0.25">
      <c r="L520"/>
      <c r="M520"/>
      <c r="N520"/>
      <c r="O520"/>
      <c r="P520"/>
      <c r="Q520"/>
      <c r="R520"/>
      <c r="S520"/>
      <c r="T520"/>
      <c r="U520"/>
    </row>
    <row r="521" spans="12:21" x14ac:dyDescent="0.25">
      <c r="L521"/>
      <c r="M521"/>
      <c r="N521"/>
      <c r="O521"/>
      <c r="P521"/>
      <c r="Q521"/>
      <c r="R521"/>
      <c r="S521"/>
      <c r="T521"/>
      <c r="U521"/>
    </row>
    <row r="522" spans="12:21" x14ac:dyDescent="0.25">
      <c r="L522"/>
      <c r="M522"/>
      <c r="N522"/>
      <c r="O522"/>
      <c r="P522"/>
      <c r="Q522"/>
      <c r="R522"/>
      <c r="S522"/>
      <c r="T522"/>
      <c r="U522"/>
    </row>
    <row r="523" spans="12:21" x14ac:dyDescent="0.25">
      <c r="L523"/>
      <c r="M523"/>
      <c r="N523"/>
      <c r="O523"/>
      <c r="P523"/>
      <c r="Q523"/>
      <c r="R523"/>
      <c r="S523"/>
      <c r="T523"/>
      <c r="U523"/>
    </row>
    <row r="524" spans="12:21" x14ac:dyDescent="0.25">
      <c r="L524"/>
      <c r="M524"/>
      <c r="N524"/>
      <c r="O524"/>
      <c r="P524"/>
      <c r="Q524"/>
      <c r="R524"/>
      <c r="S524"/>
      <c r="T524"/>
      <c r="U524"/>
    </row>
    <row r="525" spans="12:21" x14ac:dyDescent="0.25">
      <c r="L525"/>
      <c r="M525"/>
      <c r="N525"/>
      <c r="O525"/>
      <c r="P525"/>
      <c r="Q525"/>
      <c r="R525"/>
      <c r="S525"/>
      <c r="T525"/>
      <c r="U525"/>
    </row>
    <row r="526" spans="12:21" x14ac:dyDescent="0.25">
      <c r="L526"/>
      <c r="M526"/>
      <c r="N526"/>
      <c r="O526"/>
      <c r="P526"/>
      <c r="Q526"/>
      <c r="R526"/>
      <c r="S526"/>
      <c r="T526"/>
      <c r="U526"/>
    </row>
    <row r="527" spans="12:21" x14ac:dyDescent="0.25">
      <c r="L527"/>
      <c r="M527"/>
      <c r="N527"/>
      <c r="O527"/>
      <c r="P527"/>
      <c r="Q527"/>
      <c r="R527"/>
      <c r="S527"/>
      <c r="T527"/>
      <c r="U527"/>
    </row>
    <row r="528" spans="12:21" x14ac:dyDescent="0.25">
      <c r="L528"/>
      <c r="M528"/>
      <c r="N528"/>
      <c r="O528"/>
      <c r="P528"/>
      <c r="Q528"/>
      <c r="R528"/>
      <c r="S528"/>
      <c r="T528"/>
      <c r="U528"/>
    </row>
    <row r="529" spans="12:21" x14ac:dyDescent="0.25">
      <c r="L529"/>
      <c r="M529"/>
      <c r="N529"/>
      <c r="O529"/>
      <c r="P529"/>
      <c r="Q529"/>
      <c r="R529"/>
      <c r="S529"/>
      <c r="T529"/>
      <c r="U529"/>
    </row>
    <row r="530" spans="12:21" x14ac:dyDescent="0.25">
      <c r="L530"/>
      <c r="M530"/>
      <c r="N530"/>
      <c r="O530"/>
      <c r="P530"/>
      <c r="Q530"/>
      <c r="R530"/>
      <c r="S530"/>
      <c r="T530"/>
      <c r="U530"/>
    </row>
    <row r="531" spans="12:21" x14ac:dyDescent="0.25">
      <c r="L531"/>
      <c r="M531"/>
      <c r="N531"/>
      <c r="O531"/>
      <c r="P531"/>
      <c r="Q531"/>
      <c r="R531"/>
      <c r="S531"/>
      <c r="T531"/>
      <c r="U531"/>
    </row>
    <row r="532" spans="12:21" x14ac:dyDescent="0.25">
      <c r="L532"/>
      <c r="M532"/>
      <c r="N532"/>
      <c r="O532"/>
      <c r="P532"/>
      <c r="Q532"/>
      <c r="R532"/>
      <c r="S532"/>
      <c r="T532"/>
      <c r="U532"/>
    </row>
    <row r="533" spans="12:21" x14ac:dyDescent="0.25">
      <c r="L533"/>
      <c r="M533"/>
      <c r="N533"/>
      <c r="O533"/>
      <c r="P533"/>
      <c r="Q533"/>
      <c r="R533"/>
      <c r="S533"/>
      <c r="T533"/>
      <c r="U533"/>
    </row>
    <row r="534" spans="12:21" x14ac:dyDescent="0.25">
      <c r="L534"/>
      <c r="M534"/>
      <c r="N534"/>
      <c r="O534"/>
      <c r="P534"/>
      <c r="Q534"/>
      <c r="R534"/>
      <c r="S534"/>
      <c r="T534"/>
      <c r="U534"/>
    </row>
    <row r="535" spans="12:21" x14ac:dyDescent="0.25">
      <c r="L535"/>
      <c r="M535"/>
      <c r="N535"/>
      <c r="O535"/>
      <c r="P535"/>
      <c r="Q535"/>
      <c r="R535"/>
      <c r="S535"/>
      <c r="T535"/>
      <c r="U535"/>
    </row>
    <row r="536" spans="12:21" x14ac:dyDescent="0.25">
      <c r="L536"/>
      <c r="M536"/>
      <c r="N536"/>
      <c r="O536"/>
      <c r="P536"/>
      <c r="Q536"/>
      <c r="R536"/>
      <c r="S536"/>
      <c r="T536"/>
      <c r="U536"/>
    </row>
    <row r="537" spans="12:21" x14ac:dyDescent="0.25">
      <c r="L537"/>
      <c r="M537"/>
      <c r="N537"/>
      <c r="O537"/>
      <c r="P537"/>
      <c r="Q537"/>
      <c r="R537"/>
      <c r="S537"/>
      <c r="T537"/>
      <c r="U537"/>
    </row>
    <row r="538" spans="12:21" x14ac:dyDescent="0.25">
      <c r="L538"/>
      <c r="M538"/>
      <c r="N538"/>
      <c r="O538"/>
      <c r="P538"/>
      <c r="Q538"/>
      <c r="R538"/>
      <c r="S538"/>
      <c r="T538"/>
      <c r="U538"/>
    </row>
    <row r="539" spans="12:21" x14ac:dyDescent="0.25">
      <c r="L539"/>
      <c r="M539"/>
      <c r="N539"/>
      <c r="O539"/>
      <c r="P539"/>
      <c r="Q539"/>
      <c r="R539"/>
      <c r="S539"/>
      <c r="T539"/>
      <c r="U539"/>
    </row>
    <row r="540" spans="12:21" x14ac:dyDescent="0.25">
      <c r="L540"/>
      <c r="M540"/>
      <c r="N540"/>
      <c r="O540"/>
      <c r="P540"/>
      <c r="Q540"/>
      <c r="R540"/>
      <c r="S540"/>
      <c r="T540"/>
      <c r="U540"/>
    </row>
    <row r="541" spans="12:21" x14ac:dyDescent="0.25">
      <c r="L541"/>
      <c r="M541"/>
      <c r="N541"/>
      <c r="O541"/>
      <c r="P541"/>
      <c r="Q541"/>
      <c r="R541"/>
      <c r="S541"/>
      <c r="T541"/>
      <c r="U541"/>
    </row>
    <row r="542" spans="12:21" x14ac:dyDescent="0.25">
      <c r="L542"/>
      <c r="M542"/>
      <c r="N542"/>
      <c r="O542"/>
      <c r="P542"/>
      <c r="Q542"/>
      <c r="R542"/>
      <c r="S542"/>
      <c r="T542"/>
      <c r="U542"/>
    </row>
    <row r="543" spans="12:21" x14ac:dyDescent="0.25">
      <c r="L543"/>
      <c r="M543"/>
      <c r="N543"/>
      <c r="O543"/>
      <c r="P543"/>
      <c r="Q543"/>
      <c r="R543"/>
      <c r="S543"/>
      <c r="T543"/>
      <c r="U543"/>
    </row>
    <row r="544" spans="12:21" x14ac:dyDescent="0.25">
      <c r="L544"/>
      <c r="M544"/>
      <c r="N544"/>
      <c r="O544"/>
      <c r="P544"/>
      <c r="Q544"/>
      <c r="R544"/>
      <c r="S544"/>
      <c r="T544"/>
      <c r="U544"/>
    </row>
    <row r="545" spans="12:21" x14ac:dyDescent="0.25">
      <c r="L545"/>
      <c r="M545"/>
      <c r="N545"/>
      <c r="O545"/>
      <c r="P545"/>
      <c r="Q545"/>
      <c r="R545"/>
      <c r="S545"/>
      <c r="T545"/>
      <c r="U545"/>
    </row>
    <row r="546" spans="12:21" x14ac:dyDescent="0.25">
      <c r="L546"/>
      <c r="M546"/>
      <c r="N546"/>
      <c r="O546"/>
      <c r="P546"/>
      <c r="Q546"/>
      <c r="R546"/>
      <c r="S546"/>
      <c r="T546"/>
      <c r="U546"/>
    </row>
    <row r="547" spans="12:21" x14ac:dyDescent="0.25">
      <c r="L547"/>
      <c r="M547"/>
      <c r="N547"/>
      <c r="O547"/>
      <c r="P547"/>
      <c r="Q547"/>
      <c r="R547"/>
      <c r="S547"/>
      <c r="T547"/>
      <c r="U547"/>
    </row>
    <row r="548" spans="12:21" x14ac:dyDescent="0.25">
      <c r="L548"/>
      <c r="M548"/>
      <c r="N548"/>
      <c r="O548"/>
      <c r="P548"/>
      <c r="Q548"/>
      <c r="R548"/>
      <c r="S548"/>
      <c r="T548"/>
      <c r="U548"/>
    </row>
    <row r="549" spans="12:21" x14ac:dyDescent="0.25">
      <c r="L549"/>
      <c r="M549"/>
      <c r="N549"/>
      <c r="O549"/>
      <c r="P549"/>
      <c r="Q549"/>
      <c r="R549"/>
      <c r="S549"/>
      <c r="T549"/>
      <c r="U549"/>
    </row>
    <row r="550" spans="12:21" x14ac:dyDescent="0.25">
      <c r="L550"/>
      <c r="M550"/>
      <c r="N550"/>
      <c r="O550"/>
      <c r="P550"/>
      <c r="Q550"/>
      <c r="R550"/>
      <c r="S550"/>
      <c r="T550"/>
      <c r="U550"/>
    </row>
    <row r="551" spans="12:21" x14ac:dyDescent="0.25">
      <c r="L551"/>
      <c r="M551"/>
      <c r="N551"/>
      <c r="O551"/>
      <c r="P551"/>
      <c r="Q551"/>
      <c r="R551"/>
      <c r="S551"/>
      <c r="T551"/>
      <c r="U551"/>
    </row>
    <row r="552" spans="12:21" x14ac:dyDescent="0.25">
      <c r="L552"/>
      <c r="M552"/>
      <c r="N552"/>
      <c r="O552"/>
      <c r="P552"/>
      <c r="Q552"/>
      <c r="R552"/>
      <c r="S552"/>
      <c r="T552"/>
      <c r="U552"/>
    </row>
    <row r="553" spans="12:21" x14ac:dyDescent="0.25">
      <c r="L553"/>
      <c r="M553"/>
      <c r="N553"/>
      <c r="O553"/>
      <c r="P553"/>
      <c r="Q553"/>
      <c r="R553"/>
      <c r="S553"/>
      <c r="T553"/>
      <c r="U553"/>
    </row>
    <row r="554" spans="12:21" x14ac:dyDescent="0.25">
      <c r="L554"/>
      <c r="M554"/>
      <c r="N554"/>
      <c r="O554"/>
      <c r="P554"/>
      <c r="Q554"/>
      <c r="R554"/>
      <c r="S554"/>
      <c r="T554"/>
      <c r="U554"/>
    </row>
    <row r="555" spans="12:21" x14ac:dyDescent="0.25">
      <c r="L555"/>
      <c r="M555"/>
      <c r="N555"/>
      <c r="O555"/>
      <c r="P555"/>
      <c r="Q555"/>
      <c r="R555"/>
      <c r="S555"/>
      <c r="T555"/>
      <c r="U555"/>
    </row>
    <row r="556" spans="12:21" x14ac:dyDescent="0.25">
      <c r="L556"/>
      <c r="M556"/>
      <c r="N556"/>
      <c r="O556"/>
      <c r="P556"/>
      <c r="Q556"/>
      <c r="R556"/>
      <c r="S556"/>
      <c r="T556"/>
      <c r="U556"/>
    </row>
    <row r="557" spans="12:21" x14ac:dyDescent="0.25">
      <c r="L557"/>
      <c r="M557"/>
      <c r="N557"/>
      <c r="O557"/>
      <c r="P557"/>
      <c r="Q557"/>
      <c r="R557"/>
      <c r="S557"/>
      <c r="T557"/>
      <c r="U557"/>
    </row>
    <row r="558" spans="12:21" x14ac:dyDescent="0.25">
      <c r="L558"/>
      <c r="M558"/>
      <c r="N558"/>
      <c r="O558"/>
      <c r="P558"/>
      <c r="Q558"/>
      <c r="R558"/>
      <c r="S558"/>
      <c r="T558"/>
      <c r="U558"/>
    </row>
    <row r="559" spans="12:21" x14ac:dyDescent="0.25">
      <c r="L559"/>
      <c r="M559"/>
      <c r="N559"/>
      <c r="O559"/>
      <c r="P559"/>
      <c r="Q559"/>
      <c r="R559"/>
      <c r="S559"/>
      <c r="T559"/>
      <c r="U559"/>
    </row>
    <row r="560" spans="12:21" x14ac:dyDescent="0.25">
      <c r="L560"/>
      <c r="M560"/>
      <c r="N560"/>
      <c r="O560"/>
      <c r="P560"/>
      <c r="Q560"/>
      <c r="R560"/>
      <c r="S560"/>
      <c r="T560"/>
      <c r="U560"/>
    </row>
    <row r="561" spans="12:21" x14ac:dyDescent="0.25">
      <c r="L561"/>
      <c r="M561"/>
      <c r="N561"/>
      <c r="O561"/>
      <c r="P561"/>
      <c r="Q561"/>
      <c r="R561"/>
      <c r="S561"/>
      <c r="T561"/>
      <c r="U561"/>
    </row>
    <row r="562" spans="12:21" x14ac:dyDescent="0.25">
      <c r="L562"/>
      <c r="M562"/>
      <c r="N562"/>
      <c r="O562"/>
      <c r="P562"/>
      <c r="Q562"/>
      <c r="R562"/>
      <c r="S562"/>
      <c r="T562"/>
      <c r="U562"/>
    </row>
    <row r="563" spans="12:21" x14ac:dyDescent="0.25">
      <c r="L563"/>
      <c r="M563"/>
      <c r="N563"/>
      <c r="O563"/>
      <c r="P563"/>
      <c r="Q563"/>
      <c r="R563"/>
      <c r="S563"/>
      <c r="T563"/>
      <c r="U563"/>
    </row>
    <row r="564" spans="12:21" x14ac:dyDescent="0.25">
      <c r="L564"/>
      <c r="M564"/>
      <c r="N564"/>
      <c r="O564"/>
      <c r="P564"/>
      <c r="Q564"/>
      <c r="R564"/>
      <c r="S564"/>
      <c r="T564"/>
      <c r="U564"/>
    </row>
    <row r="565" spans="12:21" x14ac:dyDescent="0.25">
      <c r="L565"/>
      <c r="M565"/>
      <c r="N565"/>
      <c r="O565"/>
      <c r="P565"/>
      <c r="Q565"/>
      <c r="R565"/>
      <c r="S565"/>
      <c r="T565"/>
      <c r="U565"/>
    </row>
    <row r="566" spans="12:21" x14ac:dyDescent="0.25">
      <c r="L566"/>
      <c r="M566"/>
      <c r="N566"/>
      <c r="O566"/>
      <c r="P566"/>
      <c r="Q566"/>
      <c r="R566"/>
      <c r="S566"/>
      <c r="T566"/>
      <c r="U566"/>
    </row>
    <row r="567" spans="12:21" x14ac:dyDescent="0.25">
      <c r="L567"/>
      <c r="M567"/>
      <c r="N567"/>
      <c r="O567"/>
      <c r="P567"/>
      <c r="Q567"/>
      <c r="R567"/>
      <c r="S567"/>
      <c r="T567"/>
      <c r="U567"/>
    </row>
    <row r="568" spans="12:21" x14ac:dyDescent="0.25">
      <c r="L568"/>
      <c r="M568"/>
      <c r="N568"/>
      <c r="O568"/>
      <c r="P568"/>
      <c r="Q568"/>
      <c r="R568"/>
      <c r="S568"/>
      <c r="T568"/>
      <c r="U568"/>
    </row>
    <row r="569" spans="12:21" x14ac:dyDescent="0.25">
      <c r="L569"/>
      <c r="M569"/>
      <c r="N569"/>
      <c r="O569"/>
      <c r="P569"/>
      <c r="Q569"/>
      <c r="R569"/>
      <c r="S569"/>
      <c r="T569"/>
      <c r="U569"/>
    </row>
    <row r="570" spans="12:21" x14ac:dyDescent="0.25">
      <c r="L570"/>
      <c r="M570"/>
      <c r="N570"/>
      <c r="O570"/>
      <c r="P570"/>
      <c r="Q570"/>
      <c r="R570"/>
      <c r="S570"/>
      <c r="T570"/>
      <c r="U570"/>
    </row>
    <row r="571" spans="12:21" x14ac:dyDescent="0.25">
      <c r="L571"/>
      <c r="M571"/>
      <c r="N571"/>
      <c r="O571"/>
      <c r="P571"/>
      <c r="Q571"/>
      <c r="R571"/>
      <c r="S571"/>
      <c r="T571"/>
      <c r="U571"/>
    </row>
    <row r="572" spans="12:21" x14ac:dyDescent="0.25">
      <c r="L572"/>
      <c r="M572"/>
      <c r="N572"/>
      <c r="O572"/>
      <c r="P572"/>
      <c r="Q572"/>
      <c r="R572"/>
      <c r="S572"/>
      <c r="T572"/>
      <c r="U572"/>
    </row>
    <row r="573" spans="12:21" x14ac:dyDescent="0.25">
      <c r="L573"/>
      <c r="M573"/>
      <c r="N573"/>
      <c r="O573"/>
      <c r="P573"/>
      <c r="Q573"/>
      <c r="R573"/>
      <c r="S573"/>
      <c r="T573"/>
      <c r="U573"/>
    </row>
    <row r="574" spans="12:21" x14ac:dyDescent="0.25">
      <c r="L574"/>
      <c r="M574"/>
      <c r="N574"/>
      <c r="O574"/>
      <c r="P574"/>
      <c r="Q574"/>
      <c r="R574"/>
      <c r="S574"/>
      <c r="T574"/>
      <c r="U574"/>
    </row>
    <row r="575" spans="12:21" x14ac:dyDescent="0.25">
      <c r="L575"/>
      <c r="M575"/>
      <c r="N575"/>
      <c r="O575"/>
      <c r="P575"/>
      <c r="Q575"/>
      <c r="R575"/>
      <c r="S575"/>
      <c r="T575"/>
      <c r="U575"/>
    </row>
    <row r="576" spans="12:21" x14ac:dyDescent="0.25">
      <c r="L576"/>
      <c r="M576"/>
      <c r="N576"/>
      <c r="O576"/>
      <c r="P576"/>
      <c r="Q576"/>
      <c r="R576"/>
      <c r="S576"/>
      <c r="T576"/>
      <c r="U576"/>
    </row>
    <row r="577" spans="12:21" x14ac:dyDescent="0.25">
      <c r="L577"/>
      <c r="M577"/>
      <c r="N577"/>
      <c r="O577"/>
      <c r="P577"/>
      <c r="Q577"/>
      <c r="R577"/>
      <c r="S577"/>
      <c r="T577"/>
      <c r="U577"/>
    </row>
    <row r="578" spans="12:21" x14ac:dyDescent="0.25">
      <c r="L578"/>
      <c r="M578"/>
      <c r="N578"/>
      <c r="O578"/>
      <c r="P578"/>
      <c r="Q578"/>
      <c r="R578"/>
      <c r="S578"/>
      <c r="T578"/>
      <c r="U578"/>
    </row>
    <row r="579" spans="12:21" x14ac:dyDescent="0.25">
      <c r="L579"/>
      <c r="M579"/>
      <c r="N579"/>
      <c r="O579"/>
      <c r="P579"/>
      <c r="Q579"/>
      <c r="R579"/>
      <c r="S579"/>
      <c r="T579"/>
      <c r="U579"/>
    </row>
    <row r="580" spans="12:21" x14ac:dyDescent="0.25">
      <c r="L580"/>
      <c r="M580"/>
      <c r="N580"/>
      <c r="O580"/>
      <c r="P580"/>
      <c r="Q580"/>
      <c r="R580"/>
      <c r="S580"/>
      <c r="T580"/>
      <c r="U580"/>
    </row>
    <row r="581" spans="12:21" x14ac:dyDescent="0.25">
      <c r="L581"/>
      <c r="M581"/>
      <c r="N581"/>
      <c r="O581"/>
      <c r="P581"/>
      <c r="Q581"/>
      <c r="R581"/>
      <c r="S581"/>
      <c r="T581"/>
      <c r="U581"/>
    </row>
    <row r="582" spans="12:21" x14ac:dyDescent="0.25">
      <c r="L582"/>
      <c r="M582"/>
      <c r="N582"/>
      <c r="O582"/>
      <c r="P582"/>
      <c r="Q582"/>
      <c r="R582"/>
      <c r="S582"/>
      <c r="T582"/>
      <c r="U582"/>
    </row>
    <row r="583" spans="12:21" x14ac:dyDescent="0.25">
      <c r="L583"/>
      <c r="M583"/>
      <c r="N583"/>
      <c r="O583"/>
      <c r="P583"/>
      <c r="Q583"/>
      <c r="R583"/>
      <c r="S583"/>
      <c r="T583"/>
      <c r="U583"/>
    </row>
    <row r="584" spans="12:21" x14ac:dyDescent="0.25">
      <c r="L584"/>
      <c r="M584"/>
      <c r="N584"/>
      <c r="O584"/>
      <c r="P584"/>
      <c r="Q584"/>
      <c r="R584"/>
      <c r="S584"/>
      <c r="T584"/>
      <c r="U584"/>
    </row>
    <row r="585" spans="12:21" x14ac:dyDescent="0.25">
      <c r="L585"/>
      <c r="M585"/>
      <c r="N585"/>
      <c r="O585"/>
      <c r="P585"/>
      <c r="Q585"/>
      <c r="R585"/>
      <c r="S585"/>
      <c r="T585"/>
      <c r="U585"/>
    </row>
    <row r="586" spans="12:21" x14ac:dyDescent="0.25">
      <c r="L586"/>
      <c r="M586"/>
      <c r="N586"/>
      <c r="O586"/>
      <c r="P586"/>
      <c r="Q586"/>
      <c r="R586"/>
      <c r="S586"/>
      <c r="T586"/>
      <c r="U586"/>
    </row>
    <row r="587" spans="12:21" x14ac:dyDescent="0.25">
      <c r="L587"/>
      <c r="M587"/>
      <c r="N587"/>
      <c r="O587"/>
      <c r="P587"/>
      <c r="Q587"/>
      <c r="R587"/>
      <c r="S587"/>
      <c r="T587"/>
      <c r="U587"/>
    </row>
    <row r="588" spans="12:21" x14ac:dyDescent="0.25">
      <c r="L588"/>
      <c r="M588"/>
      <c r="N588"/>
      <c r="O588"/>
      <c r="P588"/>
      <c r="Q588"/>
      <c r="R588"/>
      <c r="S588"/>
      <c r="T588"/>
      <c r="U588"/>
    </row>
    <row r="589" spans="12:21" x14ac:dyDescent="0.25">
      <c r="L589"/>
      <c r="M589"/>
      <c r="N589"/>
      <c r="O589"/>
      <c r="P589"/>
      <c r="Q589"/>
      <c r="R589"/>
      <c r="S589"/>
      <c r="T589"/>
      <c r="U589"/>
    </row>
    <row r="590" spans="12:21" x14ac:dyDescent="0.25">
      <c r="L590"/>
      <c r="M590"/>
      <c r="N590"/>
      <c r="O590"/>
      <c r="P590"/>
      <c r="Q590"/>
      <c r="R590"/>
      <c r="S590"/>
      <c r="T590"/>
      <c r="U590"/>
    </row>
    <row r="591" spans="12:21" x14ac:dyDescent="0.25">
      <c r="L591"/>
      <c r="M591"/>
      <c r="N591"/>
      <c r="O591"/>
      <c r="P591"/>
      <c r="Q591"/>
      <c r="R591"/>
      <c r="S591"/>
      <c r="T591"/>
      <c r="U591"/>
    </row>
    <row r="592" spans="12:21" x14ac:dyDescent="0.25">
      <c r="L592"/>
      <c r="M592"/>
      <c r="N592"/>
      <c r="O592"/>
      <c r="P592"/>
      <c r="Q592"/>
      <c r="R592"/>
      <c r="S592"/>
      <c r="T592"/>
      <c r="U592"/>
    </row>
    <row r="593" spans="12:21" x14ac:dyDescent="0.25">
      <c r="L593"/>
      <c r="M593"/>
      <c r="N593"/>
      <c r="O593"/>
      <c r="P593"/>
      <c r="Q593"/>
      <c r="R593"/>
      <c r="S593"/>
      <c r="T593"/>
      <c r="U593"/>
    </row>
    <row r="594" spans="12:21" x14ac:dyDescent="0.25">
      <c r="L594"/>
      <c r="M594"/>
      <c r="N594"/>
      <c r="O594"/>
      <c r="P594"/>
      <c r="Q594"/>
      <c r="R594"/>
      <c r="S594"/>
      <c r="T594"/>
      <c r="U594"/>
    </row>
    <row r="595" spans="12:21" x14ac:dyDescent="0.25">
      <c r="L595"/>
      <c r="M595"/>
      <c r="N595"/>
      <c r="O595"/>
      <c r="P595"/>
      <c r="Q595"/>
      <c r="R595"/>
      <c r="S595"/>
      <c r="T595"/>
      <c r="U595"/>
    </row>
    <row r="596" spans="12:21" x14ac:dyDescent="0.25">
      <c r="L596"/>
      <c r="M596"/>
      <c r="N596"/>
      <c r="O596"/>
      <c r="P596"/>
      <c r="Q596"/>
      <c r="R596"/>
      <c r="S596"/>
      <c r="T596"/>
      <c r="U596"/>
    </row>
    <row r="597" spans="12:21" x14ac:dyDescent="0.25">
      <c r="L597"/>
      <c r="M597"/>
      <c r="N597"/>
      <c r="O597"/>
      <c r="P597"/>
      <c r="Q597"/>
      <c r="R597"/>
      <c r="S597"/>
      <c r="T597"/>
      <c r="U597"/>
    </row>
    <row r="598" spans="12:21" x14ac:dyDescent="0.25">
      <c r="L598"/>
      <c r="M598"/>
      <c r="N598"/>
      <c r="O598"/>
      <c r="P598"/>
      <c r="Q598"/>
      <c r="R598"/>
      <c r="S598"/>
      <c r="T598"/>
      <c r="U598"/>
    </row>
    <row r="599" spans="12:21" x14ac:dyDescent="0.25">
      <c r="L599"/>
      <c r="M599"/>
      <c r="N599"/>
      <c r="O599"/>
      <c r="P599"/>
      <c r="Q599"/>
      <c r="R599"/>
      <c r="S599"/>
      <c r="T599"/>
      <c r="U599"/>
    </row>
    <row r="600" spans="12:21" x14ac:dyDescent="0.25">
      <c r="L600"/>
      <c r="M600"/>
      <c r="N600"/>
      <c r="O600"/>
      <c r="P600"/>
      <c r="Q600"/>
      <c r="R600"/>
      <c r="S600"/>
      <c r="T600"/>
      <c r="U600"/>
    </row>
    <row r="601" spans="12:21" x14ac:dyDescent="0.25">
      <c r="L601"/>
      <c r="M601"/>
      <c r="N601"/>
      <c r="O601"/>
      <c r="P601"/>
      <c r="Q601"/>
      <c r="R601"/>
      <c r="S601"/>
      <c r="T601"/>
      <c r="U601"/>
    </row>
    <row r="602" spans="12:21" x14ac:dyDescent="0.25">
      <c r="L602"/>
      <c r="M602"/>
      <c r="N602"/>
      <c r="O602"/>
      <c r="P602"/>
      <c r="Q602"/>
      <c r="R602"/>
      <c r="S602"/>
      <c r="T602"/>
      <c r="U602"/>
    </row>
    <row r="603" spans="12:21" x14ac:dyDescent="0.25">
      <c r="L603"/>
      <c r="M603"/>
      <c r="N603"/>
      <c r="O603"/>
      <c r="P603"/>
      <c r="Q603"/>
      <c r="R603"/>
      <c r="S603"/>
      <c r="T603"/>
      <c r="U603"/>
    </row>
    <row r="604" spans="12:21" x14ac:dyDescent="0.25">
      <c r="L604"/>
      <c r="M604"/>
      <c r="N604"/>
      <c r="O604"/>
      <c r="P604"/>
      <c r="Q604"/>
      <c r="R604"/>
      <c r="S604"/>
      <c r="T604"/>
      <c r="U604"/>
    </row>
    <row r="605" spans="12:21" x14ac:dyDescent="0.25">
      <c r="L605"/>
      <c r="M605"/>
      <c r="N605"/>
      <c r="O605"/>
      <c r="P605"/>
      <c r="Q605"/>
      <c r="R605"/>
      <c r="S605"/>
      <c r="T605"/>
      <c r="U605"/>
    </row>
    <row r="606" spans="12:21" x14ac:dyDescent="0.25">
      <c r="L606"/>
      <c r="M606"/>
      <c r="N606"/>
      <c r="O606"/>
      <c r="P606"/>
      <c r="Q606"/>
      <c r="R606"/>
      <c r="S606"/>
      <c r="T606"/>
      <c r="U606"/>
    </row>
    <row r="607" spans="12:21" x14ac:dyDescent="0.25">
      <c r="L607"/>
      <c r="M607"/>
      <c r="N607"/>
      <c r="O607"/>
      <c r="P607"/>
      <c r="Q607"/>
      <c r="R607"/>
      <c r="S607"/>
      <c r="T607"/>
      <c r="U607"/>
    </row>
    <row r="608" spans="12:21" x14ac:dyDescent="0.25">
      <c r="L608"/>
      <c r="M608"/>
      <c r="N608"/>
      <c r="O608"/>
      <c r="P608"/>
      <c r="Q608"/>
      <c r="R608"/>
      <c r="S608"/>
      <c r="T608"/>
      <c r="U608"/>
    </row>
    <row r="609" spans="12:21" x14ac:dyDescent="0.25">
      <c r="L609"/>
      <c r="M609"/>
      <c r="N609"/>
      <c r="O609"/>
      <c r="P609"/>
      <c r="Q609"/>
      <c r="R609"/>
      <c r="S609"/>
      <c r="T609"/>
      <c r="U609"/>
    </row>
    <row r="610" spans="12:21" x14ac:dyDescent="0.25">
      <c r="L610"/>
      <c r="M610"/>
      <c r="N610"/>
      <c r="O610"/>
      <c r="P610"/>
      <c r="Q610"/>
      <c r="R610"/>
      <c r="S610"/>
      <c r="T610"/>
      <c r="U610"/>
    </row>
    <row r="611" spans="12:21" x14ac:dyDescent="0.25">
      <c r="L611"/>
      <c r="M611"/>
      <c r="N611"/>
      <c r="O611"/>
      <c r="P611"/>
      <c r="Q611"/>
      <c r="R611"/>
      <c r="S611"/>
      <c r="T611"/>
      <c r="U611"/>
    </row>
    <row r="612" spans="12:21" x14ac:dyDescent="0.25">
      <c r="L612"/>
      <c r="M612"/>
      <c r="N612"/>
      <c r="O612"/>
      <c r="P612"/>
      <c r="Q612"/>
      <c r="R612"/>
      <c r="S612"/>
      <c r="T612"/>
      <c r="U612"/>
    </row>
    <row r="613" spans="12:21" x14ac:dyDescent="0.25">
      <c r="L613"/>
      <c r="M613"/>
      <c r="N613"/>
      <c r="O613"/>
      <c r="P613"/>
      <c r="Q613"/>
      <c r="R613"/>
      <c r="S613"/>
      <c r="T613"/>
      <c r="U613"/>
    </row>
    <row r="614" spans="12:21" x14ac:dyDescent="0.25">
      <c r="L614"/>
      <c r="M614"/>
      <c r="N614"/>
      <c r="O614"/>
      <c r="P614"/>
      <c r="Q614"/>
      <c r="R614"/>
      <c r="S614"/>
      <c r="T614"/>
      <c r="U614"/>
    </row>
    <row r="615" spans="12:21" x14ac:dyDescent="0.25">
      <c r="L615"/>
      <c r="M615"/>
      <c r="N615"/>
      <c r="O615"/>
      <c r="P615"/>
      <c r="Q615"/>
      <c r="R615"/>
      <c r="S615"/>
      <c r="T615"/>
      <c r="U615"/>
    </row>
    <row r="616" spans="12:21" x14ac:dyDescent="0.25">
      <c r="L616"/>
      <c r="M616"/>
      <c r="N616"/>
      <c r="O616"/>
      <c r="P616"/>
      <c r="Q616"/>
      <c r="R616"/>
      <c r="S616"/>
      <c r="T616"/>
      <c r="U616"/>
    </row>
    <row r="617" spans="12:21" x14ac:dyDescent="0.25">
      <c r="L617"/>
      <c r="M617"/>
      <c r="N617"/>
      <c r="O617"/>
      <c r="P617"/>
      <c r="Q617"/>
      <c r="R617"/>
      <c r="S617"/>
      <c r="T617"/>
      <c r="U617"/>
    </row>
    <row r="618" spans="12:21" x14ac:dyDescent="0.25">
      <c r="L618"/>
      <c r="M618"/>
      <c r="N618"/>
      <c r="O618"/>
      <c r="P618"/>
      <c r="Q618"/>
      <c r="R618"/>
      <c r="S618"/>
      <c r="T618"/>
      <c r="U618"/>
    </row>
    <row r="619" spans="12:21" x14ac:dyDescent="0.25">
      <c r="L619"/>
      <c r="M619"/>
      <c r="N619"/>
      <c r="O619"/>
      <c r="P619"/>
      <c r="Q619"/>
      <c r="R619"/>
      <c r="S619"/>
      <c r="T619"/>
      <c r="U619"/>
    </row>
    <row r="620" spans="12:21" x14ac:dyDescent="0.25">
      <c r="L620"/>
      <c r="M620"/>
      <c r="N620"/>
      <c r="O620"/>
      <c r="P620"/>
      <c r="Q620"/>
      <c r="R620"/>
      <c r="S620"/>
      <c r="T620"/>
      <c r="U620"/>
    </row>
    <row r="621" spans="12:21" x14ac:dyDescent="0.25">
      <c r="L621"/>
      <c r="M621"/>
      <c r="N621"/>
      <c r="O621"/>
      <c r="P621"/>
      <c r="Q621"/>
      <c r="R621"/>
      <c r="S621"/>
      <c r="T621"/>
      <c r="U621"/>
    </row>
    <row r="622" spans="12:21" x14ac:dyDescent="0.25">
      <c r="L622"/>
      <c r="M622"/>
      <c r="N622"/>
      <c r="O622"/>
      <c r="P622"/>
      <c r="Q622"/>
      <c r="R622"/>
      <c r="S622"/>
      <c r="T622"/>
      <c r="U622"/>
    </row>
    <row r="623" spans="12:21" x14ac:dyDescent="0.25">
      <c r="L623"/>
      <c r="M623"/>
      <c r="N623"/>
      <c r="O623"/>
      <c r="P623"/>
      <c r="Q623"/>
      <c r="R623"/>
      <c r="S623"/>
      <c r="T623"/>
      <c r="U623"/>
    </row>
    <row r="624" spans="12:21" x14ac:dyDescent="0.25">
      <c r="L624"/>
      <c r="M624"/>
      <c r="N624"/>
      <c r="O624"/>
      <c r="P624"/>
      <c r="Q624"/>
      <c r="R624"/>
      <c r="S624"/>
      <c r="T624"/>
      <c r="U624"/>
    </row>
    <row r="625" spans="12:21" x14ac:dyDescent="0.25">
      <c r="L625"/>
      <c r="M625"/>
      <c r="N625"/>
      <c r="O625"/>
      <c r="P625"/>
      <c r="Q625"/>
      <c r="R625"/>
      <c r="S625"/>
      <c r="T625"/>
      <c r="U625"/>
    </row>
    <row r="626" spans="12:21" x14ac:dyDescent="0.25">
      <c r="L626"/>
      <c r="M626"/>
      <c r="N626"/>
      <c r="O626"/>
      <c r="P626"/>
      <c r="Q626"/>
      <c r="R626"/>
      <c r="S626"/>
      <c r="T626"/>
      <c r="U626"/>
    </row>
    <row r="627" spans="12:21" x14ac:dyDescent="0.25">
      <c r="L627"/>
      <c r="M627"/>
      <c r="N627"/>
      <c r="O627"/>
      <c r="P627"/>
      <c r="Q627"/>
      <c r="R627"/>
      <c r="S627"/>
      <c r="T627"/>
      <c r="U627"/>
    </row>
    <row r="628" spans="12:21" x14ac:dyDescent="0.25">
      <c r="L628"/>
      <c r="M628"/>
      <c r="N628"/>
      <c r="O628"/>
      <c r="P628"/>
      <c r="Q628"/>
      <c r="R628"/>
      <c r="S628"/>
      <c r="T628"/>
      <c r="U628"/>
    </row>
    <row r="629" spans="12:21" x14ac:dyDescent="0.25">
      <c r="L629"/>
      <c r="M629"/>
      <c r="N629"/>
      <c r="O629"/>
      <c r="P629"/>
      <c r="Q629"/>
      <c r="R629"/>
      <c r="S629"/>
      <c r="T629"/>
      <c r="U629"/>
    </row>
    <row r="630" spans="12:21" x14ac:dyDescent="0.25">
      <c r="L630"/>
      <c r="M630"/>
      <c r="N630"/>
      <c r="O630"/>
      <c r="P630"/>
      <c r="Q630"/>
      <c r="R630"/>
      <c r="S630"/>
      <c r="T630"/>
      <c r="U630"/>
    </row>
    <row r="631" spans="12:21" x14ac:dyDescent="0.25">
      <c r="L631"/>
      <c r="M631"/>
      <c r="N631"/>
      <c r="O631"/>
      <c r="P631"/>
      <c r="Q631"/>
      <c r="R631"/>
      <c r="S631"/>
      <c r="T631"/>
      <c r="U631"/>
    </row>
    <row r="632" spans="12:21" x14ac:dyDescent="0.25">
      <c r="L632"/>
      <c r="M632"/>
      <c r="N632"/>
      <c r="O632"/>
      <c r="P632"/>
      <c r="Q632"/>
      <c r="R632"/>
      <c r="S632"/>
      <c r="T632"/>
      <c r="U632"/>
    </row>
    <row r="633" spans="12:21" x14ac:dyDescent="0.25">
      <c r="L633"/>
      <c r="M633"/>
      <c r="N633"/>
      <c r="O633"/>
      <c r="P633"/>
      <c r="Q633"/>
      <c r="R633"/>
      <c r="S633"/>
      <c r="T633"/>
      <c r="U633"/>
    </row>
    <row r="634" spans="12:21" x14ac:dyDescent="0.25">
      <c r="L634"/>
      <c r="M634"/>
      <c r="N634"/>
      <c r="O634"/>
      <c r="P634"/>
      <c r="Q634"/>
      <c r="R634"/>
      <c r="S634"/>
      <c r="T634"/>
      <c r="U634"/>
    </row>
    <row r="635" spans="12:21" x14ac:dyDescent="0.25">
      <c r="L635"/>
      <c r="M635"/>
      <c r="N635"/>
      <c r="O635"/>
      <c r="P635"/>
      <c r="Q635"/>
      <c r="R635"/>
      <c r="S635"/>
      <c r="T635"/>
      <c r="U635"/>
    </row>
    <row r="636" spans="12:21" x14ac:dyDescent="0.25">
      <c r="L636"/>
      <c r="M636"/>
      <c r="N636"/>
      <c r="O636"/>
      <c r="P636"/>
      <c r="Q636"/>
      <c r="R636"/>
      <c r="S636"/>
      <c r="T636"/>
      <c r="U636"/>
    </row>
    <row r="637" spans="12:21" x14ac:dyDescent="0.25">
      <c r="L637"/>
      <c r="M637"/>
      <c r="N637"/>
      <c r="O637"/>
      <c r="P637"/>
      <c r="Q637"/>
      <c r="R637"/>
      <c r="S637"/>
      <c r="T637"/>
      <c r="U637"/>
    </row>
    <row r="638" spans="12:21" x14ac:dyDescent="0.25">
      <c r="L638"/>
      <c r="M638"/>
      <c r="N638"/>
      <c r="O638"/>
      <c r="P638"/>
      <c r="Q638"/>
      <c r="R638"/>
      <c r="S638"/>
      <c r="T638"/>
      <c r="U638"/>
    </row>
    <row r="639" spans="12:21" x14ac:dyDescent="0.25">
      <c r="L639"/>
      <c r="M639"/>
      <c r="N639"/>
      <c r="O639"/>
      <c r="P639"/>
      <c r="Q639"/>
      <c r="R639"/>
      <c r="S639"/>
      <c r="T639"/>
      <c r="U639"/>
    </row>
    <row r="640" spans="12:21" x14ac:dyDescent="0.25">
      <c r="L640"/>
      <c r="M640"/>
      <c r="N640"/>
      <c r="O640"/>
      <c r="P640"/>
      <c r="Q640"/>
      <c r="R640"/>
      <c r="S640"/>
      <c r="T640"/>
      <c r="U640"/>
    </row>
    <row r="641" spans="12:21" x14ac:dyDescent="0.25">
      <c r="L641"/>
      <c r="M641"/>
      <c r="N641"/>
      <c r="O641"/>
      <c r="P641"/>
      <c r="Q641"/>
      <c r="R641"/>
      <c r="S641"/>
      <c r="T641"/>
      <c r="U641"/>
    </row>
    <row r="642" spans="12:21" x14ac:dyDescent="0.25">
      <c r="L642"/>
      <c r="M642"/>
      <c r="N642"/>
      <c r="O642"/>
      <c r="P642"/>
      <c r="Q642"/>
      <c r="R642"/>
      <c r="S642"/>
      <c r="T642"/>
      <c r="U642"/>
    </row>
    <row r="643" spans="12:21" x14ac:dyDescent="0.25">
      <c r="L643"/>
      <c r="M643"/>
      <c r="N643"/>
      <c r="O643"/>
      <c r="P643"/>
      <c r="Q643"/>
      <c r="R643"/>
      <c r="S643"/>
      <c r="T643"/>
      <c r="U643"/>
    </row>
    <row r="644" spans="12:21" x14ac:dyDescent="0.25">
      <c r="L644"/>
      <c r="M644"/>
      <c r="N644"/>
      <c r="O644"/>
      <c r="P644"/>
      <c r="Q644"/>
      <c r="R644"/>
      <c r="S644"/>
      <c r="T644"/>
      <c r="U644"/>
    </row>
    <row r="645" spans="12:21" x14ac:dyDescent="0.25">
      <c r="L645"/>
      <c r="M645"/>
      <c r="N645"/>
      <c r="O645"/>
      <c r="P645"/>
      <c r="Q645"/>
      <c r="R645"/>
      <c r="S645"/>
      <c r="T645"/>
      <c r="U645"/>
    </row>
    <row r="646" spans="12:21" x14ac:dyDescent="0.25">
      <c r="L646"/>
      <c r="M646"/>
      <c r="N646"/>
      <c r="O646"/>
      <c r="P646"/>
      <c r="Q646"/>
      <c r="R646"/>
      <c r="S646"/>
      <c r="T646"/>
      <c r="U646"/>
    </row>
    <row r="647" spans="12:21" x14ac:dyDescent="0.25">
      <c r="L647"/>
      <c r="M647"/>
      <c r="N647"/>
      <c r="O647"/>
      <c r="P647"/>
      <c r="Q647"/>
      <c r="R647"/>
      <c r="S647"/>
      <c r="T647"/>
      <c r="U647"/>
    </row>
    <row r="648" spans="12:21" x14ac:dyDescent="0.25">
      <c r="L648"/>
      <c r="M648"/>
      <c r="N648"/>
      <c r="O648"/>
      <c r="P648"/>
      <c r="Q648"/>
      <c r="R648"/>
      <c r="S648"/>
      <c r="T648"/>
      <c r="U648"/>
    </row>
    <row r="649" spans="12:21" x14ac:dyDescent="0.25">
      <c r="L649"/>
      <c r="M649"/>
      <c r="N649"/>
      <c r="O649"/>
      <c r="P649"/>
      <c r="Q649"/>
      <c r="R649"/>
      <c r="S649"/>
      <c r="T649"/>
      <c r="U649"/>
    </row>
    <row r="650" spans="12:21" x14ac:dyDescent="0.25">
      <c r="L650"/>
      <c r="M650"/>
      <c r="N650"/>
      <c r="O650"/>
      <c r="P650"/>
      <c r="Q650"/>
      <c r="R650"/>
      <c r="S650"/>
      <c r="T650"/>
      <c r="U650"/>
    </row>
    <row r="651" spans="12:21" x14ac:dyDescent="0.25">
      <c r="L651"/>
      <c r="M651"/>
      <c r="N651"/>
      <c r="O651"/>
      <c r="P651"/>
      <c r="Q651"/>
      <c r="R651"/>
      <c r="S651"/>
      <c r="T651"/>
      <c r="U651"/>
    </row>
    <row r="652" spans="12:21" x14ac:dyDescent="0.25">
      <c r="L652"/>
      <c r="M652"/>
      <c r="N652"/>
      <c r="O652"/>
      <c r="P652"/>
      <c r="Q652"/>
      <c r="R652"/>
      <c r="S652"/>
      <c r="T652"/>
      <c r="U652"/>
    </row>
    <row r="653" spans="12:21" x14ac:dyDescent="0.25">
      <c r="L653"/>
      <c r="M653"/>
      <c r="N653"/>
      <c r="O653"/>
      <c r="P653"/>
      <c r="Q653"/>
      <c r="R653"/>
      <c r="S653"/>
      <c r="T653"/>
      <c r="U653"/>
    </row>
    <row r="654" spans="12:21" x14ac:dyDescent="0.25">
      <c r="L654"/>
      <c r="M654"/>
      <c r="N654"/>
      <c r="O654"/>
      <c r="P654"/>
      <c r="Q654"/>
      <c r="R654"/>
      <c r="S654"/>
      <c r="T654"/>
      <c r="U654"/>
    </row>
    <row r="655" spans="12:21" x14ac:dyDescent="0.25">
      <c r="L655"/>
      <c r="M655"/>
      <c r="N655"/>
      <c r="O655"/>
      <c r="P655"/>
      <c r="Q655"/>
      <c r="R655"/>
      <c r="S655"/>
      <c r="T655"/>
      <c r="U655"/>
    </row>
    <row r="656" spans="12:21" x14ac:dyDescent="0.25">
      <c r="L656"/>
      <c r="M656"/>
      <c r="N656"/>
      <c r="O656"/>
      <c r="P656"/>
      <c r="Q656"/>
      <c r="R656"/>
      <c r="S656"/>
      <c r="T656"/>
      <c r="U656"/>
    </row>
    <row r="657" spans="12:21" x14ac:dyDescent="0.25">
      <c r="L657"/>
      <c r="M657"/>
      <c r="N657"/>
      <c r="O657"/>
      <c r="P657"/>
      <c r="Q657"/>
      <c r="R657"/>
      <c r="S657"/>
      <c r="T657"/>
      <c r="U657"/>
    </row>
    <row r="658" spans="12:21" x14ac:dyDescent="0.25">
      <c r="L658"/>
      <c r="M658"/>
      <c r="N658"/>
      <c r="O658"/>
      <c r="P658"/>
      <c r="Q658"/>
      <c r="R658"/>
      <c r="S658"/>
      <c r="T658"/>
      <c r="U658"/>
    </row>
    <row r="659" spans="12:21" x14ac:dyDescent="0.25">
      <c r="L659"/>
      <c r="M659"/>
      <c r="N659"/>
      <c r="O659"/>
      <c r="P659"/>
      <c r="Q659"/>
      <c r="R659"/>
      <c r="S659"/>
      <c r="T659"/>
      <c r="U659"/>
    </row>
    <row r="660" spans="12:21" x14ac:dyDescent="0.25">
      <c r="L660"/>
      <c r="M660"/>
      <c r="N660"/>
      <c r="O660"/>
      <c r="P660"/>
      <c r="Q660"/>
      <c r="R660"/>
      <c r="S660"/>
      <c r="T660"/>
      <c r="U660"/>
    </row>
    <row r="661" spans="12:21" x14ac:dyDescent="0.25">
      <c r="L661"/>
      <c r="M661"/>
      <c r="N661"/>
      <c r="O661"/>
      <c r="P661"/>
      <c r="Q661"/>
      <c r="R661"/>
      <c r="S661"/>
      <c r="T661"/>
      <c r="U661"/>
    </row>
    <row r="662" spans="12:21" x14ac:dyDescent="0.25">
      <c r="L662"/>
      <c r="M662"/>
      <c r="N662"/>
      <c r="O662"/>
      <c r="P662"/>
      <c r="Q662"/>
      <c r="R662"/>
      <c r="S662"/>
      <c r="T662"/>
      <c r="U662"/>
    </row>
    <row r="663" spans="12:21" x14ac:dyDescent="0.25">
      <c r="L663"/>
      <c r="M663"/>
      <c r="N663"/>
      <c r="O663"/>
      <c r="P663"/>
      <c r="Q663"/>
      <c r="R663"/>
      <c r="S663"/>
      <c r="T663"/>
      <c r="U663"/>
    </row>
    <row r="664" spans="12:21" x14ac:dyDescent="0.25">
      <c r="L664"/>
      <c r="M664"/>
      <c r="N664"/>
      <c r="O664"/>
      <c r="P664"/>
      <c r="Q664"/>
      <c r="R664"/>
      <c r="S664"/>
      <c r="T664"/>
      <c r="U664"/>
    </row>
    <row r="665" spans="12:21" x14ac:dyDescent="0.25">
      <c r="L665"/>
      <c r="M665"/>
      <c r="N665"/>
      <c r="O665"/>
      <c r="P665"/>
      <c r="Q665"/>
      <c r="R665"/>
      <c r="S665"/>
      <c r="T665"/>
      <c r="U665"/>
    </row>
    <row r="666" spans="12:21" x14ac:dyDescent="0.25">
      <c r="L666"/>
      <c r="M666"/>
      <c r="N666"/>
      <c r="O666"/>
      <c r="P666"/>
      <c r="Q666"/>
      <c r="R666"/>
      <c r="S666"/>
      <c r="T666"/>
      <c r="U666"/>
    </row>
    <row r="667" spans="12:21" x14ac:dyDescent="0.25">
      <c r="L667"/>
      <c r="M667"/>
      <c r="N667"/>
      <c r="O667"/>
      <c r="P667"/>
      <c r="Q667"/>
      <c r="R667"/>
      <c r="S667"/>
      <c r="T667"/>
      <c r="U667"/>
    </row>
    <row r="668" spans="12:21" x14ac:dyDescent="0.25">
      <c r="L668"/>
      <c r="M668"/>
      <c r="N668"/>
      <c r="O668"/>
      <c r="P668"/>
      <c r="Q668"/>
      <c r="R668"/>
      <c r="S668"/>
      <c r="T668"/>
      <c r="U668"/>
    </row>
    <row r="669" spans="12:21" x14ac:dyDescent="0.25">
      <c r="L669"/>
      <c r="M669"/>
      <c r="N669"/>
      <c r="O669"/>
      <c r="P669"/>
      <c r="Q669"/>
      <c r="R669"/>
      <c r="S669"/>
      <c r="T669"/>
      <c r="U669"/>
    </row>
    <row r="670" spans="12:21" x14ac:dyDescent="0.25">
      <c r="L670"/>
      <c r="M670"/>
      <c r="N670"/>
      <c r="O670"/>
      <c r="P670"/>
      <c r="Q670"/>
      <c r="R670"/>
      <c r="S670"/>
      <c r="T670"/>
      <c r="U670"/>
    </row>
    <row r="671" spans="12:21" x14ac:dyDescent="0.25">
      <c r="L671"/>
      <c r="M671"/>
      <c r="N671"/>
      <c r="O671"/>
      <c r="P671"/>
      <c r="Q671"/>
      <c r="R671"/>
      <c r="S671"/>
      <c r="T671"/>
      <c r="U671"/>
    </row>
    <row r="672" spans="12:21" x14ac:dyDescent="0.25">
      <c r="L672"/>
      <c r="M672"/>
      <c r="N672"/>
      <c r="O672"/>
      <c r="P672"/>
      <c r="Q672"/>
      <c r="R672"/>
      <c r="S672"/>
      <c r="T672"/>
      <c r="U672"/>
    </row>
    <row r="673" spans="12:21" x14ac:dyDescent="0.25">
      <c r="L673"/>
      <c r="M673"/>
      <c r="N673"/>
      <c r="O673"/>
      <c r="P673"/>
      <c r="Q673"/>
      <c r="R673"/>
      <c r="S673"/>
      <c r="T673"/>
      <c r="U673"/>
    </row>
    <row r="674" spans="12:21" x14ac:dyDescent="0.25">
      <c r="L674"/>
      <c r="M674"/>
      <c r="N674"/>
      <c r="O674"/>
      <c r="P674"/>
      <c r="Q674"/>
      <c r="R674"/>
      <c r="S674"/>
      <c r="T674"/>
      <c r="U674"/>
    </row>
    <row r="675" spans="12:21" x14ac:dyDescent="0.25">
      <c r="L675"/>
      <c r="M675"/>
      <c r="N675"/>
      <c r="O675"/>
      <c r="P675"/>
      <c r="Q675"/>
      <c r="R675"/>
      <c r="S675"/>
      <c r="T675"/>
      <c r="U675"/>
    </row>
    <row r="676" spans="12:21" x14ac:dyDescent="0.25">
      <c r="L676"/>
      <c r="M676"/>
      <c r="N676"/>
      <c r="O676"/>
      <c r="P676"/>
      <c r="Q676"/>
      <c r="R676"/>
      <c r="S676"/>
      <c r="T676"/>
      <c r="U676"/>
    </row>
    <row r="677" spans="12:21" x14ac:dyDescent="0.25">
      <c r="L677"/>
      <c r="M677"/>
      <c r="N677"/>
      <c r="O677"/>
      <c r="P677"/>
      <c r="Q677"/>
      <c r="R677"/>
      <c r="S677"/>
      <c r="T677"/>
      <c r="U677"/>
    </row>
    <row r="678" spans="12:21" x14ac:dyDescent="0.25">
      <c r="L678"/>
      <c r="M678"/>
      <c r="N678"/>
      <c r="O678"/>
      <c r="P678"/>
      <c r="Q678"/>
      <c r="R678"/>
      <c r="S678"/>
      <c r="T678"/>
      <c r="U678"/>
    </row>
    <row r="679" spans="12:21" x14ac:dyDescent="0.25">
      <c r="L679"/>
      <c r="M679"/>
      <c r="N679"/>
      <c r="O679"/>
      <c r="P679"/>
      <c r="Q679"/>
      <c r="R679"/>
      <c r="S679"/>
      <c r="T679"/>
      <c r="U679"/>
    </row>
    <row r="680" spans="12:21" x14ac:dyDescent="0.25">
      <c r="L680"/>
      <c r="M680"/>
      <c r="N680"/>
      <c r="O680"/>
      <c r="P680"/>
      <c r="Q680"/>
      <c r="R680"/>
      <c r="S680"/>
      <c r="T680"/>
      <c r="U680"/>
    </row>
    <row r="681" spans="12:21" x14ac:dyDescent="0.25">
      <c r="L681"/>
      <c r="M681"/>
      <c r="N681"/>
      <c r="O681"/>
      <c r="P681"/>
      <c r="Q681"/>
      <c r="R681"/>
      <c r="S681"/>
      <c r="T681"/>
      <c r="U681"/>
    </row>
    <row r="682" spans="12:21" x14ac:dyDescent="0.25">
      <c r="L682"/>
      <c r="M682"/>
      <c r="N682"/>
      <c r="O682"/>
      <c r="P682"/>
      <c r="Q682"/>
      <c r="R682"/>
      <c r="S682"/>
      <c r="T682"/>
      <c r="U682"/>
    </row>
    <row r="683" spans="12:21" x14ac:dyDescent="0.25">
      <c r="L683"/>
      <c r="M683"/>
      <c r="N683"/>
      <c r="O683"/>
      <c r="P683"/>
      <c r="Q683"/>
      <c r="R683"/>
      <c r="S683"/>
      <c r="T683"/>
      <c r="U683"/>
    </row>
    <row r="684" spans="12:21" x14ac:dyDescent="0.25">
      <c r="L684"/>
      <c r="M684"/>
      <c r="N684"/>
      <c r="O684"/>
      <c r="P684"/>
      <c r="Q684"/>
      <c r="R684"/>
      <c r="S684"/>
      <c r="T684"/>
      <c r="U684"/>
    </row>
    <row r="685" spans="12:21" x14ac:dyDescent="0.25">
      <c r="L685"/>
      <c r="M685"/>
      <c r="N685"/>
      <c r="O685"/>
      <c r="P685"/>
      <c r="Q685"/>
      <c r="R685"/>
      <c r="S685"/>
      <c r="T685"/>
      <c r="U685"/>
    </row>
    <row r="686" spans="12:21" x14ac:dyDescent="0.25">
      <c r="L686"/>
      <c r="M686"/>
      <c r="N686"/>
      <c r="O686"/>
      <c r="P686"/>
      <c r="Q686"/>
      <c r="R686"/>
      <c r="S686"/>
      <c r="T686"/>
      <c r="U686"/>
    </row>
    <row r="687" spans="12:21" x14ac:dyDescent="0.25">
      <c r="L687"/>
      <c r="M687"/>
      <c r="N687"/>
      <c r="O687"/>
      <c r="P687"/>
      <c r="Q687"/>
      <c r="R687"/>
      <c r="S687"/>
      <c r="T687"/>
      <c r="U687"/>
    </row>
    <row r="688" spans="12:21" x14ac:dyDescent="0.25">
      <c r="L688"/>
      <c r="M688"/>
      <c r="N688"/>
      <c r="O688"/>
      <c r="P688"/>
      <c r="Q688"/>
      <c r="R688"/>
      <c r="S688"/>
      <c r="T688"/>
      <c r="U688"/>
    </row>
    <row r="689" spans="12:21" x14ac:dyDescent="0.25">
      <c r="L689"/>
      <c r="M689"/>
      <c r="N689"/>
      <c r="O689"/>
      <c r="P689"/>
      <c r="Q689"/>
      <c r="R689"/>
      <c r="S689"/>
      <c r="T689"/>
      <c r="U689"/>
    </row>
    <row r="690" spans="12:21" x14ac:dyDescent="0.25">
      <c r="L690"/>
      <c r="M690"/>
      <c r="N690"/>
      <c r="O690"/>
      <c r="P690"/>
      <c r="Q690"/>
      <c r="R690"/>
      <c r="S690"/>
      <c r="T690"/>
      <c r="U690"/>
    </row>
    <row r="691" spans="12:21" x14ac:dyDescent="0.25">
      <c r="L691"/>
      <c r="M691"/>
      <c r="N691"/>
      <c r="O691"/>
      <c r="P691"/>
      <c r="Q691"/>
      <c r="R691"/>
      <c r="S691"/>
      <c r="T691"/>
      <c r="U691"/>
    </row>
    <row r="692" spans="12:21" x14ac:dyDescent="0.25">
      <c r="L692"/>
      <c r="M692"/>
      <c r="N692"/>
      <c r="O692"/>
      <c r="P692"/>
      <c r="Q692"/>
      <c r="R692"/>
      <c r="S692"/>
      <c r="T692"/>
      <c r="U692"/>
    </row>
    <row r="693" spans="12:21" x14ac:dyDescent="0.25">
      <c r="L693"/>
      <c r="M693"/>
      <c r="N693"/>
      <c r="O693"/>
      <c r="P693"/>
      <c r="Q693"/>
      <c r="R693"/>
      <c r="S693"/>
      <c r="T693"/>
      <c r="U693"/>
    </row>
    <row r="694" spans="12:21" x14ac:dyDescent="0.25">
      <c r="L694"/>
      <c r="M694"/>
      <c r="N694"/>
      <c r="O694"/>
      <c r="P694"/>
      <c r="Q694"/>
      <c r="R694"/>
      <c r="S694"/>
      <c r="T694"/>
      <c r="U694"/>
    </row>
    <row r="695" spans="12:21" x14ac:dyDescent="0.25">
      <c r="L695"/>
      <c r="M695"/>
      <c r="N695"/>
      <c r="O695"/>
      <c r="P695"/>
      <c r="Q695"/>
      <c r="R695"/>
      <c r="S695"/>
      <c r="T695"/>
      <c r="U695"/>
    </row>
    <row r="696" spans="12:21" x14ac:dyDescent="0.25">
      <c r="L696"/>
      <c r="M696"/>
      <c r="N696"/>
      <c r="O696"/>
      <c r="P696"/>
      <c r="Q696"/>
      <c r="R696"/>
      <c r="S696"/>
      <c r="T696"/>
      <c r="U696"/>
    </row>
    <row r="697" spans="12:21" x14ac:dyDescent="0.25">
      <c r="L697"/>
      <c r="M697"/>
      <c r="N697"/>
      <c r="O697"/>
      <c r="P697"/>
      <c r="Q697"/>
      <c r="R697"/>
      <c r="S697"/>
      <c r="T697"/>
      <c r="U697"/>
    </row>
    <row r="698" spans="12:21" x14ac:dyDescent="0.25">
      <c r="L698"/>
      <c r="M698"/>
      <c r="N698"/>
      <c r="O698"/>
      <c r="P698"/>
      <c r="Q698"/>
      <c r="R698"/>
      <c r="S698"/>
      <c r="T698"/>
      <c r="U698"/>
    </row>
    <row r="699" spans="12:21" x14ac:dyDescent="0.25">
      <c r="L699"/>
      <c r="M699"/>
      <c r="N699"/>
      <c r="O699"/>
      <c r="P699"/>
      <c r="Q699"/>
      <c r="R699"/>
      <c r="S699"/>
      <c r="T699"/>
      <c r="U699"/>
    </row>
    <row r="700" spans="12:21" x14ac:dyDescent="0.25">
      <c r="L700"/>
      <c r="M700"/>
      <c r="N700"/>
      <c r="O700"/>
      <c r="P700"/>
      <c r="Q700"/>
      <c r="R700"/>
      <c r="S700"/>
      <c r="T700"/>
      <c r="U700"/>
    </row>
    <row r="701" spans="12:21" x14ac:dyDescent="0.25">
      <c r="L701"/>
      <c r="M701"/>
      <c r="N701"/>
      <c r="O701"/>
      <c r="P701"/>
      <c r="Q701"/>
      <c r="R701"/>
      <c r="S701"/>
      <c r="T701"/>
      <c r="U701"/>
    </row>
    <row r="702" spans="12:21" x14ac:dyDescent="0.25">
      <c r="L702"/>
      <c r="M702"/>
      <c r="N702"/>
      <c r="O702"/>
      <c r="P702"/>
      <c r="Q702"/>
      <c r="R702"/>
      <c r="S702"/>
      <c r="T702"/>
      <c r="U702"/>
    </row>
    <row r="703" spans="12:21" x14ac:dyDescent="0.25">
      <c r="L703"/>
      <c r="M703"/>
      <c r="N703"/>
      <c r="O703"/>
      <c r="P703"/>
      <c r="Q703"/>
      <c r="R703"/>
      <c r="S703"/>
      <c r="T703"/>
      <c r="U703"/>
    </row>
    <row r="704" spans="12:21" x14ac:dyDescent="0.25">
      <c r="L704"/>
      <c r="M704"/>
      <c r="N704"/>
      <c r="O704"/>
      <c r="P704"/>
      <c r="Q704"/>
      <c r="R704"/>
      <c r="S704"/>
      <c r="T704"/>
      <c r="U704"/>
    </row>
    <row r="705" spans="12:21" x14ac:dyDescent="0.25">
      <c r="L705"/>
      <c r="M705"/>
      <c r="N705"/>
      <c r="O705"/>
      <c r="P705"/>
      <c r="Q705"/>
      <c r="R705"/>
      <c r="S705"/>
      <c r="T705"/>
      <c r="U705"/>
    </row>
    <row r="706" spans="12:21" x14ac:dyDescent="0.25">
      <c r="L706"/>
      <c r="M706"/>
      <c r="N706"/>
      <c r="O706"/>
      <c r="P706"/>
      <c r="Q706"/>
      <c r="R706"/>
      <c r="S706"/>
      <c r="T706"/>
      <c r="U706"/>
    </row>
    <row r="707" spans="12:21" x14ac:dyDescent="0.25">
      <c r="L707"/>
      <c r="M707"/>
      <c r="N707"/>
      <c r="O707"/>
      <c r="P707"/>
      <c r="Q707"/>
      <c r="R707"/>
      <c r="S707"/>
      <c r="T707"/>
      <c r="U707"/>
    </row>
    <row r="708" spans="12:21" x14ac:dyDescent="0.25">
      <c r="L708"/>
      <c r="M708"/>
      <c r="N708"/>
      <c r="O708"/>
      <c r="P708"/>
      <c r="Q708"/>
      <c r="R708"/>
      <c r="S708"/>
      <c r="T708"/>
      <c r="U708"/>
    </row>
    <row r="709" spans="12:21" x14ac:dyDescent="0.25">
      <c r="L709"/>
      <c r="M709"/>
      <c r="N709"/>
      <c r="O709"/>
      <c r="P709"/>
      <c r="Q709"/>
      <c r="R709"/>
      <c r="S709"/>
      <c r="T709"/>
      <c r="U709"/>
    </row>
    <row r="710" spans="12:21" x14ac:dyDescent="0.25">
      <c r="L710"/>
      <c r="M710"/>
      <c r="N710"/>
      <c r="O710"/>
      <c r="P710"/>
      <c r="Q710"/>
      <c r="R710"/>
      <c r="S710"/>
      <c r="T710"/>
      <c r="U710"/>
    </row>
    <row r="711" spans="12:21" x14ac:dyDescent="0.25">
      <c r="L711"/>
      <c r="M711"/>
      <c r="N711"/>
      <c r="O711"/>
      <c r="P711"/>
      <c r="Q711"/>
      <c r="R711"/>
      <c r="S711"/>
      <c r="T711"/>
      <c r="U711"/>
    </row>
    <row r="712" spans="12:21" x14ac:dyDescent="0.25">
      <c r="L712"/>
      <c r="M712"/>
      <c r="N712"/>
      <c r="O712"/>
      <c r="P712"/>
      <c r="Q712"/>
      <c r="R712"/>
      <c r="S712"/>
      <c r="T712"/>
      <c r="U712"/>
    </row>
    <row r="713" spans="12:21" x14ac:dyDescent="0.25">
      <c r="L713"/>
      <c r="M713"/>
      <c r="N713"/>
      <c r="O713"/>
      <c r="P713"/>
      <c r="Q713"/>
      <c r="R713"/>
      <c r="S713"/>
      <c r="T713"/>
      <c r="U713"/>
    </row>
    <row r="714" spans="12:21" x14ac:dyDescent="0.25">
      <c r="L714"/>
      <c r="M714"/>
      <c r="N714"/>
      <c r="O714"/>
      <c r="P714"/>
      <c r="Q714"/>
      <c r="R714"/>
      <c r="S714"/>
      <c r="T714"/>
      <c r="U714"/>
    </row>
    <row r="715" spans="12:21" x14ac:dyDescent="0.25">
      <c r="L715"/>
      <c r="M715"/>
      <c r="N715"/>
      <c r="O715"/>
      <c r="P715"/>
      <c r="Q715"/>
      <c r="R715"/>
      <c r="S715"/>
      <c r="T715"/>
      <c r="U715"/>
    </row>
    <row r="716" spans="12:21" x14ac:dyDescent="0.25">
      <c r="L716"/>
      <c r="M716"/>
      <c r="N716"/>
      <c r="O716"/>
      <c r="P716"/>
      <c r="Q716"/>
      <c r="R716"/>
      <c r="S716"/>
      <c r="T716"/>
      <c r="U716"/>
    </row>
    <row r="717" spans="12:21" x14ac:dyDescent="0.25">
      <c r="L717"/>
      <c r="M717"/>
      <c r="N717"/>
      <c r="O717"/>
      <c r="P717"/>
      <c r="Q717"/>
      <c r="R717"/>
      <c r="S717"/>
      <c r="T717"/>
      <c r="U717"/>
    </row>
    <row r="718" spans="12:21" x14ac:dyDescent="0.25">
      <c r="L718"/>
      <c r="M718"/>
      <c r="N718"/>
      <c r="O718"/>
      <c r="P718"/>
      <c r="Q718"/>
      <c r="R718"/>
      <c r="S718"/>
      <c r="T718"/>
      <c r="U718"/>
    </row>
    <row r="719" spans="12:21" x14ac:dyDescent="0.25">
      <c r="L719"/>
      <c r="M719"/>
      <c r="N719"/>
      <c r="O719"/>
      <c r="P719"/>
      <c r="Q719"/>
      <c r="R719"/>
      <c r="S719"/>
      <c r="T719"/>
      <c r="U719"/>
    </row>
    <row r="720" spans="12:21" x14ac:dyDescent="0.25">
      <c r="L720"/>
      <c r="M720"/>
      <c r="N720"/>
      <c r="O720"/>
      <c r="P720"/>
      <c r="Q720"/>
      <c r="R720"/>
      <c r="S720"/>
      <c r="T720"/>
      <c r="U720"/>
    </row>
    <row r="721" spans="12:21" x14ac:dyDescent="0.25">
      <c r="L721"/>
      <c r="M721"/>
      <c r="N721"/>
      <c r="O721"/>
      <c r="P721"/>
      <c r="Q721"/>
      <c r="R721"/>
      <c r="S721"/>
      <c r="T721"/>
      <c r="U721"/>
    </row>
    <row r="722" spans="12:21" x14ac:dyDescent="0.25">
      <c r="L722"/>
      <c r="M722"/>
      <c r="N722"/>
      <c r="O722"/>
      <c r="P722"/>
      <c r="Q722"/>
      <c r="R722"/>
      <c r="S722"/>
      <c r="T722"/>
      <c r="U722"/>
    </row>
    <row r="723" spans="12:21" x14ac:dyDescent="0.25">
      <c r="L723"/>
      <c r="M723"/>
      <c r="N723"/>
      <c r="O723"/>
      <c r="P723"/>
      <c r="Q723"/>
      <c r="R723"/>
      <c r="S723"/>
      <c r="T723"/>
      <c r="U723"/>
    </row>
    <row r="724" spans="12:21" x14ac:dyDescent="0.25">
      <c r="L724"/>
      <c r="M724"/>
      <c r="N724"/>
      <c r="O724"/>
      <c r="P724"/>
      <c r="Q724"/>
      <c r="R724"/>
      <c r="S724"/>
      <c r="T724"/>
      <c r="U724"/>
    </row>
    <row r="725" spans="12:21" x14ac:dyDescent="0.25">
      <c r="L725"/>
      <c r="M725"/>
      <c r="N725"/>
      <c r="O725"/>
      <c r="P725"/>
      <c r="Q725"/>
      <c r="R725"/>
      <c r="S725"/>
      <c r="T725"/>
      <c r="U725"/>
    </row>
    <row r="726" spans="12:21" x14ac:dyDescent="0.25">
      <c r="L726"/>
      <c r="M726"/>
      <c r="N726"/>
      <c r="O726"/>
      <c r="P726"/>
      <c r="Q726"/>
      <c r="R726"/>
      <c r="S726"/>
      <c r="T726"/>
      <c r="U726"/>
    </row>
    <row r="727" spans="12:21" x14ac:dyDescent="0.25">
      <c r="L727"/>
      <c r="M727"/>
      <c r="N727"/>
      <c r="O727"/>
      <c r="P727"/>
      <c r="Q727"/>
      <c r="R727"/>
      <c r="S727"/>
      <c r="T727"/>
      <c r="U727"/>
    </row>
    <row r="728" spans="12:21" x14ac:dyDescent="0.25">
      <c r="L728"/>
      <c r="M728"/>
      <c r="N728"/>
      <c r="O728"/>
      <c r="P728"/>
      <c r="Q728"/>
      <c r="R728"/>
      <c r="S728"/>
      <c r="T728"/>
      <c r="U728"/>
    </row>
    <row r="729" spans="12:21" x14ac:dyDescent="0.25">
      <c r="L729"/>
      <c r="M729"/>
      <c r="N729"/>
      <c r="O729"/>
      <c r="P729"/>
      <c r="Q729"/>
      <c r="R729"/>
      <c r="S729"/>
      <c r="T729"/>
      <c r="U729"/>
    </row>
    <row r="730" spans="12:21" x14ac:dyDescent="0.25">
      <c r="L730"/>
      <c r="M730"/>
      <c r="N730"/>
      <c r="O730"/>
      <c r="P730"/>
      <c r="Q730"/>
      <c r="R730"/>
      <c r="S730"/>
      <c r="T730"/>
      <c r="U730"/>
    </row>
    <row r="731" spans="12:21" x14ac:dyDescent="0.25">
      <c r="L731"/>
      <c r="M731"/>
      <c r="N731"/>
      <c r="O731"/>
      <c r="P731"/>
      <c r="Q731"/>
      <c r="R731"/>
      <c r="S731"/>
      <c r="T731"/>
      <c r="U731"/>
    </row>
    <row r="732" spans="12:21" x14ac:dyDescent="0.25">
      <c r="L732"/>
      <c r="M732"/>
      <c r="N732"/>
      <c r="O732"/>
      <c r="P732"/>
      <c r="Q732"/>
      <c r="R732"/>
      <c r="S732"/>
      <c r="T732"/>
      <c r="U732"/>
    </row>
    <row r="733" spans="12:21" x14ac:dyDescent="0.25">
      <c r="L733"/>
      <c r="M733"/>
      <c r="N733"/>
      <c r="O733"/>
      <c r="P733"/>
      <c r="Q733"/>
      <c r="R733"/>
      <c r="S733"/>
      <c r="T733"/>
      <c r="U733"/>
    </row>
    <row r="734" spans="12:21" x14ac:dyDescent="0.25">
      <c r="L734"/>
      <c r="M734"/>
      <c r="N734"/>
      <c r="O734"/>
      <c r="P734"/>
      <c r="Q734"/>
      <c r="R734"/>
      <c r="S734"/>
      <c r="T734"/>
      <c r="U734"/>
    </row>
    <row r="735" spans="12:21" x14ac:dyDescent="0.25">
      <c r="L735"/>
      <c r="M735"/>
      <c r="N735"/>
      <c r="O735"/>
      <c r="P735"/>
      <c r="Q735"/>
      <c r="R735"/>
      <c r="S735"/>
      <c r="T735"/>
      <c r="U735"/>
    </row>
    <row r="736" spans="12:21" x14ac:dyDescent="0.25">
      <c r="L736"/>
      <c r="M736"/>
      <c r="N736"/>
      <c r="O736"/>
      <c r="P736"/>
      <c r="Q736"/>
      <c r="R736"/>
      <c r="S736"/>
      <c r="T736"/>
      <c r="U736"/>
    </row>
    <row r="737" spans="12:21" x14ac:dyDescent="0.25">
      <c r="L737"/>
      <c r="M737"/>
      <c r="N737"/>
      <c r="O737"/>
      <c r="P737"/>
      <c r="Q737"/>
      <c r="R737"/>
      <c r="S737"/>
      <c r="T737"/>
      <c r="U737"/>
    </row>
    <row r="738" spans="12:21" x14ac:dyDescent="0.25">
      <c r="L738"/>
      <c r="M738"/>
      <c r="N738"/>
      <c r="O738"/>
      <c r="P738"/>
      <c r="Q738"/>
      <c r="R738"/>
      <c r="S738"/>
      <c r="T738"/>
      <c r="U738"/>
    </row>
    <row r="739" spans="12:21" x14ac:dyDescent="0.25">
      <c r="L739"/>
      <c r="M739"/>
      <c r="N739"/>
      <c r="O739"/>
      <c r="P739"/>
      <c r="Q739"/>
      <c r="R739"/>
      <c r="S739"/>
      <c r="T739"/>
      <c r="U739"/>
    </row>
    <row r="740" spans="12:21" x14ac:dyDescent="0.25">
      <c r="L740"/>
      <c r="M740"/>
      <c r="N740"/>
      <c r="O740"/>
      <c r="P740"/>
      <c r="Q740"/>
      <c r="R740"/>
      <c r="S740"/>
      <c r="T740"/>
      <c r="U740"/>
    </row>
    <row r="741" spans="12:21" x14ac:dyDescent="0.25">
      <c r="L741"/>
      <c r="M741"/>
      <c r="N741"/>
      <c r="O741"/>
      <c r="P741"/>
      <c r="Q741"/>
      <c r="R741"/>
      <c r="S741"/>
      <c r="T741"/>
      <c r="U741"/>
    </row>
    <row r="742" spans="12:21" x14ac:dyDescent="0.25">
      <c r="L742"/>
      <c r="M742"/>
      <c r="N742"/>
      <c r="O742"/>
      <c r="P742"/>
      <c r="Q742"/>
      <c r="R742"/>
      <c r="S742"/>
      <c r="T742"/>
      <c r="U742"/>
    </row>
    <row r="743" spans="12:21" x14ac:dyDescent="0.25">
      <c r="L743"/>
      <c r="M743"/>
      <c r="N743"/>
      <c r="O743"/>
      <c r="P743"/>
      <c r="Q743"/>
      <c r="R743"/>
      <c r="S743"/>
      <c r="T743"/>
      <c r="U743"/>
    </row>
    <row r="744" spans="12:21" x14ac:dyDescent="0.25">
      <c r="L744"/>
      <c r="M744"/>
      <c r="N744"/>
      <c r="O744"/>
      <c r="P744"/>
      <c r="Q744"/>
      <c r="R744"/>
      <c r="S744"/>
      <c r="T744"/>
      <c r="U744"/>
    </row>
    <row r="745" spans="12:21" x14ac:dyDescent="0.25">
      <c r="L745"/>
      <c r="M745"/>
      <c r="N745"/>
      <c r="O745"/>
      <c r="P745"/>
      <c r="Q745"/>
      <c r="R745"/>
      <c r="S745"/>
      <c r="T745"/>
      <c r="U745"/>
    </row>
    <row r="746" spans="12:21" x14ac:dyDescent="0.25">
      <c r="L746"/>
      <c r="M746"/>
      <c r="N746"/>
      <c r="O746"/>
      <c r="P746"/>
      <c r="Q746"/>
      <c r="R746"/>
      <c r="S746"/>
      <c r="T746"/>
      <c r="U746"/>
    </row>
    <row r="747" spans="12:21" x14ac:dyDescent="0.25">
      <c r="L747"/>
      <c r="M747"/>
      <c r="N747"/>
      <c r="O747"/>
      <c r="P747"/>
      <c r="Q747"/>
      <c r="R747"/>
      <c r="S747"/>
      <c r="T747"/>
      <c r="U747"/>
    </row>
    <row r="748" spans="12:21" x14ac:dyDescent="0.25">
      <c r="L748"/>
      <c r="M748"/>
      <c r="N748"/>
      <c r="O748"/>
      <c r="P748"/>
      <c r="Q748"/>
      <c r="R748"/>
      <c r="S748"/>
      <c r="T748"/>
      <c r="U748"/>
    </row>
    <row r="749" spans="12:21" x14ac:dyDescent="0.25">
      <c r="L749"/>
      <c r="M749"/>
      <c r="N749"/>
      <c r="O749"/>
      <c r="P749"/>
      <c r="Q749"/>
      <c r="R749"/>
      <c r="S749"/>
      <c r="T749"/>
      <c r="U749"/>
    </row>
    <row r="750" spans="12:21" x14ac:dyDescent="0.25">
      <c r="L750"/>
      <c r="M750"/>
      <c r="N750"/>
      <c r="O750"/>
      <c r="P750"/>
      <c r="Q750"/>
      <c r="R750"/>
      <c r="S750"/>
      <c r="T750"/>
      <c r="U750"/>
    </row>
    <row r="751" spans="12:21" x14ac:dyDescent="0.25">
      <c r="L751"/>
      <c r="M751"/>
      <c r="N751"/>
      <c r="O751"/>
      <c r="P751"/>
      <c r="Q751"/>
      <c r="R751"/>
      <c r="S751"/>
      <c r="T751"/>
      <c r="U751"/>
    </row>
    <row r="752" spans="12:21" x14ac:dyDescent="0.25">
      <c r="L752"/>
      <c r="M752"/>
      <c r="N752"/>
      <c r="O752"/>
      <c r="P752"/>
      <c r="Q752"/>
      <c r="R752"/>
      <c r="S752"/>
      <c r="T752"/>
      <c r="U752"/>
    </row>
    <row r="753" spans="12:21" x14ac:dyDescent="0.25">
      <c r="L753"/>
      <c r="M753"/>
      <c r="N753"/>
      <c r="O753"/>
      <c r="P753"/>
      <c r="Q753"/>
      <c r="R753"/>
      <c r="S753"/>
      <c r="T753"/>
      <c r="U753"/>
    </row>
    <row r="754" spans="12:21" x14ac:dyDescent="0.25">
      <c r="L754"/>
      <c r="M754"/>
      <c r="N754"/>
      <c r="O754"/>
      <c r="P754"/>
      <c r="Q754"/>
      <c r="R754"/>
      <c r="S754"/>
      <c r="T754"/>
      <c r="U754"/>
    </row>
    <row r="755" spans="12:21" x14ac:dyDescent="0.25">
      <c r="L755"/>
      <c r="M755"/>
      <c r="N755"/>
      <c r="O755"/>
      <c r="P755"/>
      <c r="Q755"/>
      <c r="R755"/>
      <c r="S755"/>
      <c r="T755"/>
      <c r="U755"/>
    </row>
    <row r="756" spans="12:21" x14ac:dyDescent="0.25">
      <c r="L756"/>
      <c r="M756"/>
      <c r="N756"/>
      <c r="O756"/>
      <c r="P756"/>
      <c r="Q756"/>
      <c r="R756"/>
      <c r="S756"/>
      <c r="T756"/>
      <c r="U756"/>
    </row>
    <row r="757" spans="12:21" x14ac:dyDescent="0.25">
      <c r="L757"/>
      <c r="M757"/>
      <c r="N757"/>
      <c r="O757"/>
      <c r="P757"/>
      <c r="Q757"/>
      <c r="R757"/>
      <c r="S757"/>
      <c r="T757"/>
      <c r="U757"/>
    </row>
    <row r="758" spans="12:21" x14ac:dyDescent="0.25">
      <c r="L758"/>
      <c r="M758"/>
      <c r="N758"/>
      <c r="O758"/>
      <c r="P758"/>
      <c r="Q758"/>
      <c r="R758"/>
      <c r="S758"/>
      <c r="T758"/>
      <c r="U758"/>
    </row>
    <row r="759" spans="12:21" x14ac:dyDescent="0.25">
      <c r="L759"/>
      <c r="M759"/>
      <c r="N759"/>
      <c r="O759"/>
      <c r="P759"/>
      <c r="Q759"/>
      <c r="R759"/>
      <c r="S759"/>
      <c r="T759"/>
      <c r="U759"/>
    </row>
    <row r="760" spans="12:21" x14ac:dyDescent="0.25">
      <c r="L760"/>
      <c r="M760"/>
      <c r="N760"/>
      <c r="O760"/>
      <c r="P760"/>
      <c r="Q760"/>
      <c r="R760"/>
      <c r="S760"/>
      <c r="T760"/>
      <c r="U760"/>
    </row>
    <row r="761" spans="12:21" x14ac:dyDescent="0.25">
      <c r="L761"/>
      <c r="M761"/>
      <c r="N761"/>
      <c r="O761"/>
      <c r="P761"/>
      <c r="Q761"/>
      <c r="R761"/>
      <c r="S761"/>
      <c r="T761"/>
      <c r="U761"/>
    </row>
    <row r="762" spans="12:21" x14ac:dyDescent="0.25">
      <c r="L762"/>
      <c r="M762"/>
      <c r="N762"/>
      <c r="O762"/>
      <c r="P762"/>
      <c r="Q762"/>
      <c r="R762"/>
      <c r="S762"/>
      <c r="T762"/>
      <c r="U762"/>
    </row>
    <row r="763" spans="12:21" x14ac:dyDescent="0.25">
      <c r="L763"/>
      <c r="M763"/>
      <c r="N763"/>
      <c r="O763"/>
      <c r="P763"/>
      <c r="Q763"/>
      <c r="R763"/>
      <c r="S763"/>
      <c r="T763"/>
      <c r="U763"/>
    </row>
    <row r="764" spans="12:21" x14ac:dyDescent="0.25">
      <c r="L764"/>
      <c r="M764"/>
      <c r="N764"/>
      <c r="O764"/>
      <c r="P764"/>
      <c r="Q764"/>
      <c r="R764"/>
      <c r="S764"/>
      <c r="T764"/>
      <c r="U764"/>
    </row>
    <row r="765" spans="12:21" x14ac:dyDescent="0.25">
      <c r="L765"/>
      <c r="M765"/>
      <c r="N765"/>
      <c r="O765"/>
      <c r="P765"/>
      <c r="Q765"/>
      <c r="R765"/>
      <c r="S765"/>
      <c r="T765"/>
      <c r="U765"/>
    </row>
    <row r="766" spans="12:21" x14ac:dyDescent="0.25">
      <c r="L766"/>
      <c r="M766"/>
      <c r="N766"/>
      <c r="O766"/>
      <c r="P766"/>
      <c r="Q766"/>
      <c r="R766"/>
      <c r="S766"/>
      <c r="T766"/>
      <c r="U766"/>
    </row>
    <row r="767" spans="12:21" x14ac:dyDescent="0.25">
      <c r="L767"/>
      <c r="M767"/>
      <c r="N767"/>
      <c r="O767"/>
      <c r="P767"/>
      <c r="Q767"/>
      <c r="R767"/>
      <c r="S767"/>
      <c r="T767"/>
      <c r="U767"/>
    </row>
    <row r="768" spans="12:21" x14ac:dyDescent="0.25">
      <c r="L768"/>
      <c r="M768"/>
      <c r="N768"/>
      <c r="O768"/>
      <c r="P768"/>
      <c r="Q768"/>
      <c r="R768"/>
      <c r="S768"/>
      <c r="T768"/>
      <c r="U768"/>
    </row>
    <row r="769" spans="12:21" x14ac:dyDescent="0.25">
      <c r="L769"/>
      <c r="M769"/>
      <c r="N769"/>
      <c r="O769"/>
      <c r="P769"/>
      <c r="Q769"/>
      <c r="R769"/>
      <c r="S769"/>
      <c r="T769"/>
      <c r="U769"/>
    </row>
    <row r="770" spans="12:21" x14ac:dyDescent="0.25">
      <c r="L770"/>
      <c r="M770"/>
      <c r="N770"/>
      <c r="O770"/>
      <c r="P770"/>
      <c r="Q770"/>
      <c r="R770"/>
      <c r="S770"/>
      <c r="T770"/>
      <c r="U770"/>
    </row>
    <row r="771" spans="12:21" x14ac:dyDescent="0.25">
      <c r="L771"/>
      <c r="M771"/>
      <c r="N771"/>
      <c r="O771"/>
      <c r="P771"/>
      <c r="Q771"/>
      <c r="R771"/>
      <c r="S771"/>
      <c r="T771"/>
      <c r="U771"/>
    </row>
    <row r="772" spans="12:21" x14ac:dyDescent="0.25">
      <c r="L772"/>
      <c r="M772"/>
      <c r="N772"/>
      <c r="O772"/>
      <c r="P772"/>
      <c r="Q772"/>
      <c r="R772"/>
      <c r="S772"/>
      <c r="T772"/>
      <c r="U772"/>
    </row>
    <row r="773" spans="12:21" x14ac:dyDescent="0.25">
      <c r="L773"/>
      <c r="M773"/>
      <c r="N773"/>
      <c r="O773"/>
      <c r="P773"/>
      <c r="Q773"/>
      <c r="R773"/>
      <c r="S773"/>
      <c r="T773"/>
      <c r="U773"/>
    </row>
    <row r="774" spans="12:21" x14ac:dyDescent="0.25">
      <c r="L774"/>
      <c r="M774"/>
      <c r="N774"/>
      <c r="O774"/>
      <c r="P774"/>
      <c r="Q774"/>
      <c r="R774"/>
      <c r="S774"/>
      <c r="T774"/>
      <c r="U774"/>
    </row>
    <row r="775" spans="12:21" x14ac:dyDescent="0.25">
      <c r="L775"/>
      <c r="M775"/>
      <c r="N775"/>
      <c r="O775"/>
      <c r="P775"/>
      <c r="Q775"/>
      <c r="R775"/>
      <c r="S775"/>
      <c r="T775"/>
      <c r="U775"/>
    </row>
    <row r="776" spans="12:21" x14ac:dyDescent="0.25">
      <c r="L776"/>
      <c r="M776"/>
      <c r="N776"/>
      <c r="O776"/>
      <c r="P776"/>
      <c r="Q776"/>
      <c r="R776"/>
      <c r="S776"/>
      <c r="T776"/>
      <c r="U776"/>
    </row>
    <row r="777" spans="12:21" x14ac:dyDescent="0.25">
      <c r="L777"/>
      <c r="M777"/>
      <c r="N777"/>
      <c r="O777"/>
      <c r="P777"/>
      <c r="Q777"/>
      <c r="R777"/>
      <c r="S777"/>
      <c r="T777"/>
      <c r="U777"/>
    </row>
    <row r="778" spans="12:21" x14ac:dyDescent="0.25">
      <c r="L778"/>
      <c r="M778"/>
      <c r="N778"/>
      <c r="O778"/>
      <c r="P778"/>
      <c r="Q778"/>
      <c r="R778"/>
      <c r="S778"/>
      <c r="T778"/>
      <c r="U778"/>
    </row>
    <row r="779" spans="12:21" x14ac:dyDescent="0.25">
      <c r="L779"/>
      <c r="M779"/>
      <c r="N779"/>
      <c r="O779"/>
      <c r="P779"/>
      <c r="Q779"/>
      <c r="R779"/>
      <c r="S779"/>
      <c r="T779"/>
      <c r="U779"/>
    </row>
    <row r="780" spans="12:21" x14ac:dyDescent="0.25">
      <c r="L780"/>
      <c r="M780"/>
      <c r="N780"/>
      <c r="O780"/>
      <c r="P780"/>
      <c r="Q780"/>
      <c r="R780"/>
      <c r="S780"/>
      <c r="T780"/>
      <c r="U780"/>
    </row>
    <row r="781" spans="12:21" x14ac:dyDescent="0.25">
      <c r="L781"/>
      <c r="M781"/>
      <c r="N781"/>
      <c r="O781"/>
      <c r="P781"/>
      <c r="Q781"/>
      <c r="R781"/>
      <c r="S781"/>
      <c r="T781"/>
      <c r="U781"/>
    </row>
    <row r="782" spans="12:21" x14ac:dyDescent="0.25">
      <c r="L782"/>
      <c r="M782"/>
      <c r="N782"/>
      <c r="O782"/>
      <c r="P782"/>
      <c r="Q782"/>
      <c r="R782"/>
      <c r="S782"/>
      <c r="T782"/>
      <c r="U782"/>
    </row>
    <row r="783" spans="12:21" x14ac:dyDescent="0.25">
      <c r="L783"/>
      <c r="M783"/>
      <c r="N783"/>
      <c r="O783"/>
      <c r="P783"/>
      <c r="Q783"/>
      <c r="R783"/>
      <c r="S783"/>
      <c r="T783"/>
      <c r="U783"/>
    </row>
    <row r="784" spans="12:21" x14ac:dyDescent="0.25">
      <c r="L784"/>
      <c r="M784"/>
      <c r="N784"/>
      <c r="O784"/>
      <c r="P784"/>
      <c r="Q784"/>
      <c r="R784"/>
      <c r="S784"/>
      <c r="T784"/>
      <c r="U784"/>
    </row>
    <row r="785" spans="12:21" x14ac:dyDescent="0.25">
      <c r="L785"/>
      <c r="M785"/>
      <c r="N785"/>
      <c r="O785"/>
      <c r="P785"/>
      <c r="Q785"/>
      <c r="R785"/>
      <c r="S785"/>
      <c r="T785"/>
      <c r="U785"/>
    </row>
    <row r="786" spans="12:21" x14ac:dyDescent="0.25">
      <c r="L786"/>
      <c r="M786"/>
      <c r="N786"/>
      <c r="O786"/>
      <c r="P786"/>
      <c r="Q786"/>
      <c r="R786"/>
      <c r="S786"/>
      <c r="T786"/>
      <c r="U786"/>
    </row>
    <row r="787" spans="12:21" x14ac:dyDescent="0.25">
      <c r="L787"/>
      <c r="M787"/>
      <c r="N787"/>
      <c r="O787"/>
      <c r="P787"/>
      <c r="Q787"/>
      <c r="R787"/>
      <c r="S787"/>
      <c r="T787"/>
      <c r="U787"/>
    </row>
    <row r="788" spans="12:21" x14ac:dyDescent="0.25">
      <c r="L788"/>
      <c r="M788"/>
      <c r="N788"/>
      <c r="O788"/>
      <c r="P788"/>
      <c r="Q788"/>
      <c r="R788"/>
      <c r="S788"/>
      <c r="T788"/>
      <c r="U788"/>
    </row>
    <row r="789" spans="12:21" x14ac:dyDescent="0.25">
      <c r="L789"/>
      <c r="M789"/>
      <c r="N789"/>
      <c r="O789"/>
      <c r="P789"/>
      <c r="Q789"/>
      <c r="R789"/>
      <c r="S789"/>
      <c r="T789"/>
      <c r="U789"/>
    </row>
    <row r="790" spans="12:21" x14ac:dyDescent="0.25">
      <c r="L790"/>
      <c r="M790"/>
      <c r="N790"/>
      <c r="O790"/>
      <c r="P790"/>
      <c r="Q790"/>
      <c r="R790"/>
      <c r="S790"/>
      <c r="T790"/>
      <c r="U790"/>
    </row>
    <row r="791" spans="12:21" x14ac:dyDescent="0.25">
      <c r="L791"/>
      <c r="M791"/>
      <c r="N791"/>
      <c r="O791"/>
      <c r="P791"/>
      <c r="Q791"/>
      <c r="R791"/>
      <c r="S791"/>
      <c r="T791"/>
      <c r="U791"/>
    </row>
    <row r="792" spans="12:21" x14ac:dyDescent="0.25">
      <c r="L792"/>
      <c r="M792"/>
      <c r="N792"/>
      <c r="O792"/>
      <c r="P792"/>
      <c r="Q792"/>
      <c r="R792"/>
      <c r="S792"/>
      <c r="T792"/>
      <c r="U792"/>
    </row>
    <row r="793" spans="12:21" x14ac:dyDescent="0.25">
      <c r="L793"/>
      <c r="M793"/>
      <c r="N793"/>
      <c r="O793"/>
      <c r="P793"/>
      <c r="Q793"/>
      <c r="R793"/>
      <c r="S793"/>
      <c r="T793"/>
      <c r="U793"/>
    </row>
    <row r="794" spans="12:21" x14ac:dyDescent="0.25">
      <c r="L794"/>
      <c r="M794"/>
      <c r="N794"/>
      <c r="O794"/>
      <c r="P794"/>
      <c r="Q794"/>
      <c r="R794"/>
      <c r="S794"/>
      <c r="T794"/>
      <c r="U794"/>
    </row>
    <row r="795" spans="12:21" x14ac:dyDescent="0.25">
      <c r="L795"/>
      <c r="M795"/>
      <c r="N795"/>
      <c r="O795"/>
      <c r="P795"/>
      <c r="Q795"/>
      <c r="R795"/>
      <c r="S795"/>
      <c r="T795"/>
      <c r="U795"/>
    </row>
    <row r="796" spans="12:21" x14ac:dyDescent="0.25">
      <c r="L796"/>
      <c r="M796"/>
      <c r="N796"/>
      <c r="O796"/>
      <c r="P796"/>
      <c r="Q796"/>
      <c r="R796"/>
      <c r="S796"/>
      <c r="T796"/>
      <c r="U796"/>
    </row>
    <row r="797" spans="12:21" x14ac:dyDescent="0.25">
      <c r="L797"/>
      <c r="M797"/>
      <c r="N797"/>
      <c r="O797"/>
      <c r="P797"/>
      <c r="Q797"/>
      <c r="R797"/>
      <c r="S797"/>
      <c r="T797"/>
      <c r="U797"/>
    </row>
    <row r="798" spans="12:21" x14ac:dyDescent="0.25">
      <c r="L798"/>
      <c r="M798"/>
      <c r="N798"/>
      <c r="O798"/>
      <c r="P798"/>
      <c r="Q798"/>
      <c r="R798"/>
      <c r="S798"/>
      <c r="T798"/>
      <c r="U798"/>
    </row>
    <row r="799" spans="12:21" x14ac:dyDescent="0.25">
      <c r="L799"/>
      <c r="M799"/>
      <c r="N799"/>
      <c r="O799"/>
      <c r="P799"/>
      <c r="Q799"/>
      <c r="R799"/>
      <c r="S799"/>
      <c r="T799"/>
      <c r="U799"/>
    </row>
    <row r="800" spans="12:21" x14ac:dyDescent="0.25">
      <c r="L800"/>
      <c r="M800"/>
      <c r="N800"/>
      <c r="O800"/>
      <c r="P800"/>
      <c r="Q800"/>
      <c r="R800"/>
      <c r="S800"/>
      <c r="T800"/>
      <c r="U800"/>
    </row>
    <row r="801" spans="12:21" x14ac:dyDescent="0.25">
      <c r="L801"/>
      <c r="M801"/>
      <c r="N801"/>
      <c r="O801"/>
      <c r="P801"/>
      <c r="Q801"/>
      <c r="R801"/>
      <c r="S801"/>
      <c r="T801"/>
      <c r="U801"/>
    </row>
    <row r="802" spans="12:21" x14ac:dyDescent="0.25">
      <c r="L802"/>
      <c r="M802"/>
      <c r="N802"/>
      <c r="O802"/>
      <c r="P802"/>
      <c r="Q802"/>
      <c r="R802"/>
      <c r="S802"/>
      <c r="T802"/>
      <c r="U802"/>
    </row>
    <row r="803" spans="12:21" x14ac:dyDescent="0.25">
      <c r="L803"/>
      <c r="M803"/>
      <c r="N803"/>
      <c r="O803"/>
      <c r="P803"/>
      <c r="Q803"/>
      <c r="R803"/>
      <c r="S803"/>
      <c r="T803"/>
      <c r="U803"/>
    </row>
    <row r="804" spans="12:21" x14ac:dyDescent="0.25">
      <c r="L804"/>
      <c r="M804"/>
      <c r="N804"/>
      <c r="O804"/>
      <c r="P804"/>
      <c r="Q804"/>
      <c r="R804"/>
      <c r="S804"/>
      <c r="T804"/>
      <c r="U804"/>
    </row>
    <row r="805" spans="12:21" x14ac:dyDescent="0.25">
      <c r="L805"/>
      <c r="M805"/>
      <c r="N805"/>
      <c r="O805"/>
      <c r="P805"/>
      <c r="Q805"/>
      <c r="R805"/>
      <c r="S805"/>
      <c r="T805"/>
      <c r="U805"/>
    </row>
    <row r="806" spans="12:21" x14ac:dyDescent="0.25">
      <c r="L806"/>
      <c r="M806"/>
      <c r="N806"/>
      <c r="O806"/>
      <c r="P806"/>
      <c r="Q806"/>
      <c r="R806"/>
      <c r="S806"/>
      <c r="T806"/>
      <c r="U806"/>
    </row>
    <row r="807" spans="12:21" x14ac:dyDescent="0.25">
      <c r="L807"/>
      <c r="M807"/>
      <c r="N807"/>
      <c r="O807"/>
      <c r="P807"/>
      <c r="Q807"/>
      <c r="R807"/>
      <c r="S807"/>
      <c r="T807"/>
      <c r="U807"/>
    </row>
    <row r="808" spans="12:21" x14ac:dyDescent="0.25">
      <c r="L808"/>
      <c r="M808"/>
      <c r="N808"/>
      <c r="O808"/>
      <c r="P808"/>
      <c r="Q808"/>
      <c r="R808"/>
      <c r="S808"/>
      <c r="T808"/>
      <c r="U808"/>
    </row>
    <row r="809" spans="12:21" x14ac:dyDescent="0.25">
      <c r="L809"/>
      <c r="M809"/>
      <c r="N809"/>
      <c r="O809"/>
      <c r="P809"/>
      <c r="Q809"/>
      <c r="R809"/>
      <c r="S809"/>
      <c r="T809"/>
      <c r="U809"/>
    </row>
    <row r="810" spans="12:21" x14ac:dyDescent="0.25">
      <c r="L810"/>
      <c r="M810"/>
      <c r="N810"/>
      <c r="O810"/>
      <c r="P810"/>
      <c r="Q810"/>
      <c r="R810"/>
      <c r="S810"/>
      <c r="T810"/>
      <c r="U810"/>
    </row>
    <row r="811" spans="12:21" x14ac:dyDescent="0.25">
      <c r="L811"/>
      <c r="M811"/>
      <c r="N811"/>
      <c r="O811"/>
      <c r="P811"/>
      <c r="Q811"/>
      <c r="R811"/>
      <c r="S811"/>
      <c r="T811"/>
      <c r="U811"/>
    </row>
    <row r="812" spans="12:21" x14ac:dyDescent="0.25">
      <c r="L812"/>
      <c r="M812"/>
      <c r="N812"/>
      <c r="O812"/>
      <c r="P812"/>
      <c r="Q812"/>
      <c r="R812"/>
      <c r="S812"/>
      <c r="T812"/>
      <c r="U812"/>
    </row>
    <row r="813" spans="12:21" x14ac:dyDescent="0.25">
      <c r="L813"/>
      <c r="M813"/>
      <c r="N813"/>
      <c r="O813"/>
      <c r="P813"/>
      <c r="Q813"/>
      <c r="R813"/>
      <c r="S813"/>
      <c r="T813"/>
      <c r="U813"/>
    </row>
    <row r="814" spans="12:21" x14ac:dyDescent="0.25">
      <c r="L814"/>
      <c r="M814"/>
      <c r="N814"/>
      <c r="O814"/>
      <c r="P814"/>
      <c r="Q814"/>
      <c r="R814"/>
      <c r="S814"/>
      <c r="T814"/>
      <c r="U814"/>
    </row>
    <row r="815" spans="12:21" x14ac:dyDescent="0.25">
      <c r="L815"/>
      <c r="M815"/>
      <c r="N815"/>
      <c r="O815"/>
      <c r="P815"/>
      <c r="Q815"/>
      <c r="R815"/>
      <c r="S815"/>
      <c r="T815"/>
      <c r="U815"/>
    </row>
    <row r="816" spans="12:21" x14ac:dyDescent="0.25">
      <c r="L816"/>
      <c r="M816"/>
      <c r="N816"/>
      <c r="O816"/>
      <c r="P816"/>
      <c r="Q816"/>
      <c r="R816"/>
      <c r="S816"/>
      <c r="T816"/>
      <c r="U816"/>
    </row>
    <row r="817" spans="12:21" x14ac:dyDescent="0.25">
      <c r="L817"/>
      <c r="M817"/>
      <c r="N817"/>
      <c r="O817"/>
      <c r="P817"/>
      <c r="Q817"/>
      <c r="R817"/>
      <c r="S817"/>
      <c r="T817"/>
      <c r="U817"/>
    </row>
    <row r="818" spans="12:21" x14ac:dyDescent="0.25">
      <c r="L818"/>
      <c r="M818"/>
      <c r="N818"/>
      <c r="O818"/>
      <c r="P818"/>
      <c r="Q818"/>
      <c r="R818"/>
      <c r="S818"/>
      <c r="T818"/>
      <c r="U818"/>
    </row>
    <row r="819" spans="12:21" x14ac:dyDescent="0.25">
      <c r="L819"/>
      <c r="M819"/>
      <c r="N819"/>
      <c r="O819"/>
      <c r="P819"/>
      <c r="Q819"/>
      <c r="R819"/>
      <c r="S819"/>
      <c r="T819"/>
      <c r="U819"/>
    </row>
    <row r="820" spans="12:21" x14ac:dyDescent="0.25">
      <c r="L820"/>
      <c r="M820"/>
      <c r="N820"/>
      <c r="O820"/>
      <c r="P820"/>
      <c r="Q820"/>
      <c r="R820"/>
      <c r="S820"/>
      <c r="T820"/>
      <c r="U820"/>
    </row>
    <row r="821" spans="12:21" x14ac:dyDescent="0.25">
      <c r="L821"/>
      <c r="M821"/>
      <c r="N821"/>
      <c r="O821"/>
      <c r="P821"/>
      <c r="Q821"/>
      <c r="R821"/>
      <c r="S821"/>
      <c r="T821"/>
      <c r="U821"/>
    </row>
    <row r="822" spans="12:21" x14ac:dyDescent="0.25">
      <c r="L822"/>
      <c r="M822"/>
      <c r="N822"/>
      <c r="O822"/>
      <c r="P822"/>
      <c r="Q822"/>
      <c r="R822"/>
      <c r="S822"/>
      <c r="T822"/>
      <c r="U822"/>
    </row>
    <row r="823" spans="12:21" x14ac:dyDescent="0.25">
      <c r="L823"/>
      <c r="M823"/>
      <c r="N823"/>
      <c r="O823"/>
      <c r="P823"/>
      <c r="Q823"/>
      <c r="R823"/>
      <c r="S823"/>
      <c r="T823"/>
      <c r="U823"/>
    </row>
    <row r="824" spans="12:21" x14ac:dyDescent="0.25">
      <c r="L824"/>
      <c r="M824"/>
      <c r="N824"/>
      <c r="O824"/>
      <c r="P824"/>
      <c r="Q824"/>
      <c r="R824"/>
      <c r="S824"/>
      <c r="T824"/>
      <c r="U824"/>
    </row>
    <row r="825" spans="12:21" x14ac:dyDescent="0.25">
      <c r="L825"/>
      <c r="M825"/>
      <c r="N825"/>
      <c r="O825"/>
      <c r="P825"/>
      <c r="Q825"/>
      <c r="R825"/>
      <c r="S825"/>
      <c r="T825"/>
      <c r="U825"/>
    </row>
    <row r="826" spans="12:21" x14ac:dyDescent="0.25">
      <c r="L826"/>
      <c r="M826"/>
      <c r="N826"/>
      <c r="O826"/>
      <c r="P826"/>
      <c r="Q826"/>
      <c r="R826"/>
      <c r="S826"/>
      <c r="T826"/>
      <c r="U826"/>
    </row>
    <row r="827" spans="12:21" x14ac:dyDescent="0.25">
      <c r="L827"/>
      <c r="M827"/>
      <c r="N827"/>
      <c r="O827"/>
      <c r="P827"/>
      <c r="Q827"/>
      <c r="R827"/>
      <c r="S827"/>
      <c r="T827"/>
      <c r="U827"/>
    </row>
    <row r="828" spans="12:21" x14ac:dyDescent="0.25">
      <c r="L828"/>
      <c r="M828"/>
      <c r="N828"/>
      <c r="O828"/>
      <c r="P828"/>
      <c r="Q828"/>
      <c r="R828"/>
      <c r="S828"/>
      <c r="T828"/>
      <c r="U828"/>
    </row>
    <row r="829" spans="12:21" x14ac:dyDescent="0.25">
      <c r="L829"/>
      <c r="M829"/>
      <c r="N829"/>
      <c r="O829"/>
      <c r="P829"/>
      <c r="Q829"/>
      <c r="R829"/>
      <c r="S829"/>
      <c r="T829"/>
      <c r="U829"/>
    </row>
    <row r="830" spans="12:21" x14ac:dyDescent="0.25">
      <c r="L830"/>
      <c r="M830"/>
      <c r="N830"/>
      <c r="O830"/>
      <c r="P830"/>
      <c r="Q830"/>
      <c r="R830"/>
      <c r="S830"/>
      <c r="T830"/>
      <c r="U830"/>
    </row>
    <row r="831" spans="12:21" x14ac:dyDescent="0.25">
      <c r="L831"/>
      <c r="M831"/>
      <c r="N831"/>
      <c r="O831"/>
      <c r="P831"/>
      <c r="Q831"/>
      <c r="R831"/>
      <c r="S831"/>
      <c r="T831"/>
      <c r="U831"/>
    </row>
    <row r="832" spans="12:21" x14ac:dyDescent="0.25">
      <c r="L832"/>
      <c r="M832"/>
      <c r="N832"/>
      <c r="O832"/>
      <c r="P832"/>
      <c r="Q832"/>
      <c r="R832"/>
      <c r="S832"/>
      <c r="T832"/>
      <c r="U832"/>
    </row>
    <row r="833" spans="12:21" x14ac:dyDescent="0.25">
      <c r="L833"/>
      <c r="M833"/>
      <c r="N833"/>
      <c r="O833"/>
      <c r="P833"/>
      <c r="Q833"/>
      <c r="R833"/>
      <c r="S833"/>
      <c r="T833"/>
      <c r="U833"/>
    </row>
    <row r="834" spans="12:21" x14ac:dyDescent="0.25">
      <c r="L834"/>
      <c r="M834"/>
      <c r="N834"/>
      <c r="O834"/>
      <c r="P834"/>
      <c r="Q834"/>
      <c r="R834"/>
      <c r="S834"/>
      <c r="T834"/>
      <c r="U834"/>
    </row>
    <row r="835" spans="12:21" x14ac:dyDescent="0.25">
      <c r="L835"/>
      <c r="M835"/>
      <c r="N835"/>
      <c r="O835"/>
      <c r="P835"/>
      <c r="Q835"/>
      <c r="R835"/>
      <c r="S835"/>
      <c r="T835"/>
      <c r="U835"/>
    </row>
    <row r="836" spans="12:21" x14ac:dyDescent="0.25">
      <c r="L836"/>
      <c r="M836"/>
      <c r="N836"/>
      <c r="O836"/>
      <c r="P836"/>
      <c r="Q836"/>
      <c r="R836"/>
      <c r="S836"/>
      <c r="T836"/>
      <c r="U836"/>
    </row>
    <row r="837" spans="12:21" x14ac:dyDescent="0.25">
      <c r="L837"/>
      <c r="M837"/>
      <c r="N837"/>
      <c r="O837"/>
      <c r="P837"/>
      <c r="Q837"/>
      <c r="R837"/>
      <c r="S837"/>
      <c r="T837"/>
      <c r="U837"/>
    </row>
    <row r="838" spans="12:21" x14ac:dyDescent="0.25">
      <c r="L838"/>
      <c r="M838"/>
      <c r="N838"/>
      <c r="O838"/>
      <c r="P838"/>
      <c r="Q838"/>
      <c r="R838"/>
      <c r="S838"/>
      <c r="T838"/>
      <c r="U838"/>
    </row>
    <row r="839" spans="12:21" x14ac:dyDescent="0.25">
      <c r="L839"/>
      <c r="M839"/>
      <c r="N839"/>
      <c r="O839"/>
      <c r="P839"/>
      <c r="Q839"/>
      <c r="R839"/>
      <c r="S839"/>
      <c r="T839"/>
      <c r="U839"/>
    </row>
    <row r="840" spans="12:21" x14ac:dyDescent="0.25">
      <c r="L840"/>
      <c r="M840"/>
      <c r="N840"/>
      <c r="O840"/>
      <c r="P840"/>
      <c r="Q840"/>
      <c r="R840"/>
      <c r="S840"/>
      <c r="T840"/>
      <c r="U840"/>
    </row>
    <row r="841" spans="12:21" x14ac:dyDescent="0.25">
      <c r="L841"/>
      <c r="M841"/>
      <c r="N841"/>
      <c r="O841"/>
      <c r="P841"/>
      <c r="Q841"/>
      <c r="R841"/>
      <c r="S841"/>
      <c r="T841"/>
      <c r="U841"/>
    </row>
    <row r="842" spans="12:21" x14ac:dyDescent="0.25">
      <c r="L842"/>
      <c r="M842"/>
      <c r="N842"/>
      <c r="O842"/>
      <c r="P842"/>
      <c r="Q842"/>
      <c r="R842"/>
      <c r="S842"/>
      <c r="T842"/>
      <c r="U842"/>
    </row>
    <row r="843" spans="12:21" x14ac:dyDescent="0.25">
      <c r="L843"/>
      <c r="M843"/>
      <c r="N843"/>
      <c r="O843"/>
      <c r="P843"/>
      <c r="Q843"/>
      <c r="R843"/>
      <c r="S843"/>
      <c r="T843"/>
      <c r="U843"/>
    </row>
    <row r="844" spans="12:21" x14ac:dyDescent="0.25">
      <c r="L844"/>
      <c r="M844"/>
      <c r="N844"/>
      <c r="O844"/>
      <c r="P844"/>
      <c r="Q844"/>
      <c r="R844"/>
      <c r="S844"/>
      <c r="T844"/>
      <c r="U844"/>
    </row>
    <row r="845" spans="12:21" x14ac:dyDescent="0.25">
      <c r="L845"/>
      <c r="M845"/>
      <c r="N845"/>
      <c r="O845"/>
      <c r="P845"/>
      <c r="Q845"/>
      <c r="R845"/>
      <c r="S845"/>
      <c r="T845"/>
      <c r="U845"/>
    </row>
    <row r="846" spans="12:21" x14ac:dyDescent="0.25">
      <c r="L846"/>
      <c r="M846"/>
      <c r="N846"/>
      <c r="O846"/>
      <c r="P846"/>
      <c r="Q846"/>
      <c r="R846"/>
      <c r="S846"/>
      <c r="T846"/>
      <c r="U846"/>
    </row>
    <row r="847" spans="12:21" x14ac:dyDescent="0.25">
      <c r="L847"/>
      <c r="M847"/>
      <c r="N847"/>
      <c r="O847"/>
      <c r="P847"/>
      <c r="Q847"/>
      <c r="R847"/>
      <c r="S847"/>
      <c r="T847"/>
      <c r="U847"/>
    </row>
    <row r="848" spans="12:21" x14ac:dyDescent="0.25">
      <c r="L848"/>
      <c r="M848"/>
      <c r="N848"/>
      <c r="O848"/>
      <c r="P848"/>
      <c r="Q848"/>
      <c r="R848"/>
      <c r="S848"/>
      <c r="T848"/>
      <c r="U848"/>
    </row>
    <row r="849" spans="12:21" x14ac:dyDescent="0.25">
      <c r="L849"/>
      <c r="M849"/>
      <c r="N849"/>
      <c r="O849"/>
      <c r="P849"/>
      <c r="Q849"/>
      <c r="R849"/>
      <c r="S849"/>
      <c r="T849"/>
      <c r="U849"/>
    </row>
    <row r="850" spans="12:21" x14ac:dyDescent="0.25">
      <c r="L850"/>
      <c r="M850"/>
      <c r="N850"/>
      <c r="O850"/>
      <c r="P850"/>
      <c r="Q850"/>
      <c r="R850"/>
      <c r="S850"/>
      <c r="T850"/>
      <c r="U850"/>
    </row>
    <row r="851" spans="12:21" x14ac:dyDescent="0.25">
      <c r="L851"/>
      <c r="M851"/>
      <c r="N851"/>
      <c r="O851"/>
      <c r="P851"/>
      <c r="Q851"/>
      <c r="R851"/>
      <c r="S851"/>
      <c r="T851"/>
      <c r="U851"/>
    </row>
    <row r="852" spans="12:21" x14ac:dyDescent="0.25">
      <c r="L852"/>
      <c r="M852"/>
      <c r="N852"/>
      <c r="O852"/>
      <c r="P852"/>
      <c r="Q852"/>
      <c r="R852"/>
      <c r="S852"/>
      <c r="T852"/>
      <c r="U852"/>
    </row>
    <row r="853" spans="12:21" x14ac:dyDescent="0.25">
      <c r="L853"/>
      <c r="M853"/>
      <c r="N853"/>
      <c r="O853"/>
      <c r="P853"/>
      <c r="Q853"/>
      <c r="R853"/>
      <c r="S853"/>
      <c r="T853"/>
      <c r="U853"/>
    </row>
    <row r="854" spans="12:21" x14ac:dyDescent="0.25">
      <c r="L854"/>
      <c r="M854"/>
      <c r="N854"/>
      <c r="O854"/>
      <c r="P854"/>
      <c r="Q854"/>
      <c r="R854"/>
      <c r="S854"/>
      <c r="T854"/>
      <c r="U854"/>
    </row>
    <row r="855" spans="12:21" x14ac:dyDescent="0.25">
      <c r="L855"/>
      <c r="M855"/>
      <c r="N855"/>
      <c r="O855"/>
      <c r="P855"/>
      <c r="Q855"/>
      <c r="R855"/>
      <c r="S855"/>
      <c r="T855"/>
      <c r="U855"/>
    </row>
    <row r="856" spans="12:21" x14ac:dyDescent="0.25">
      <c r="L856"/>
      <c r="M856"/>
      <c r="N856"/>
      <c r="O856"/>
      <c r="P856"/>
      <c r="Q856"/>
      <c r="R856"/>
      <c r="S856"/>
      <c r="T856"/>
      <c r="U856"/>
    </row>
    <row r="857" spans="12:21" x14ac:dyDescent="0.25">
      <c r="L857"/>
      <c r="M857"/>
      <c r="N857"/>
      <c r="O857"/>
      <c r="P857"/>
      <c r="Q857"/>
      <c r="R857"/>
      <c r="S857"/>
      <c r="T857"/>
      <c r="U857"/>
    </row>
    <row r="858" spans="12:21" x14ac:dyDescent="0.25">
      <c r="L858"/>
      <c r="M858"/>
      <c r="N858"/>
      <c r="O858"/>
      <c r="P858"/>
      <c r="Q858"/>
      <c r="R858"/>
      <c r="S858"/>
      <c r="T858"/>
      <c r="U858"/>
    </row>
    <row r="859" spans="12:21" x14ac:dyDescent="0.25">
      <c r="L859"/>
      <c r="M859"/>
      <c r="N859"/>
      <c r="O859"/>
      <c r="P859"/>
      <c r="Q859"/>
      <c r="R859"/>
      <c r="S859"/>
      <c r="T859"/>
      <c r="U859"/>
    </row>
    <row r="860" spans="12:21" x14ac:dyDescent="0.25">
      <c r="L860"/>
      <c r="M860"/>
      <c r="N860"/>
      <c r="O860"/>
      <c r="P860"/>
      <c r="Q860"/>
      <c r="R860"/>
      <c r="S860"/>
      <c r="T860"/>
      <c r="U860"/>
    </row>
    <row r="861" spans="12:21" x14ac:dyDescent="0.25">
      <c r="L861"/>
      <c r="M861"/>
      <c r="N861"/>
      <c r="O861"/>
      <c r="P861"/>
      <c r="Q861"/>
      <c r="R861"/>
      <c r="S861"/>
      <c r="T861"/>
      <c r="U861"/>
    </row>
    <row r="862" spans="12:21" x14ac:dyDescent="0.25">
      <c r="L862"/>
      <c r="M862"/>
      <c r="N862"/>
      <c r="O862"/>
      <c r="P862"/>
      <c r="Q862"/>
      <c r="R862"/>
      <c r="S862"/>
      <c r="T862"/>
      <c r="U862"/>
    </row>
    <row r="863" spans="12:21" x14ac:dyDescent="0.25">
      <c r="L863"/>
      <c r="M863"/>
      <c r="N863"/>
      <c r="O863"/>
      <c r="P863"/>
      <c r="Q863"/>
      <c r="R863"/>
      <c r="S863"/>
      <c r="T863"/>
      <c r="U863"/>
    </row>
    <row r="864" spans="12:21" x14ac:dyDescent="0.25">
      <c r="L864"/>
      <c r="M864"/>
      <c r="N864"/>
      <c r="O864"/>
      <c r="P864"/>
      <c r="Q864"/>
      <c r="R864"/>
      <c r="S864"/>
      <c r="T864"/>
      <c r="U864"/>
    </row>
    <row r="865" spans="12:21" x14ac:dyDescent="0.25">
      <c r="L865"/>
      <c r="M865"/>
      <c r="N865"/>
      <c r="O865"/>
      <c r="P865"/>
      <c r="Q865"/>
      <c r="R865"/>
      <c r="S865"/>
      <c r="T865"/>
      <c r="U865"/>
    </row>
    <row r="866" spans="12:21" x14ac:dyDescent="0.25">
      <c r="L866"/>
      <c r="M866"/>
      <c r="N866"/>
      <c r="O866"/>
      <c r="P866"/>
      <c r="Q866"/>
      <c r="R866"/>
      <c r="S866"/>
      <c r="T866"/>
      <c r="U866"/>
    </row>
    <row r="867" spans="12:21" x14ac:dyDescent="0.25">
      <c r="L867"/>
      <c r="M867"/>
      <c r="N867"/>
      <c r="O867"/>
      <c r="P867"/>
      <c r="Q867"/>
      <c r="R867"/>
      <c r="S867"/>
      <c r="T867"/>
      <c r="U867"/>
    </row>
    <row r="868" spans="12:21" x14ac:dyDescent="0.25">
      <c r="L868"/>
      <c r="M868"/>
      <c r="N868"/>
      <c r="O868"/>
      <c r="P868"/>
      <c r="Q868"/>
      <c r="R868"/>
      <c r="S868"/>
      <c r="T868"/>
      <c r="U868"/>
    </row>
    <row r="869" spans="12:21" x14ac:dyDescent="0.25">
      <c r="L869"/>
      <c r="M869"/>
      <c r="N869"/>
      <c r="O869"/>
      <c r="P869"/>
      <c r="Q869"/>
      <c r="R869"/>
      <c r="S869"/>
      <c r="T869"/>
      <c r="U869"/>
    </row>
    <row r="870" spans="12:21" x14ac:dyDescent="0.25">
      <c r="L870"/>
      <c r="M870"/>
      <c r="N870"/>
      <c r="O870"/>
      <c r="P870"/>
      <c r="Q870"/>
      <c r="R870"/>
      <c r="S870"/>
      <c r="T870"/>
      <c r="U870"/>
    </row>
    <row r="871" spans="12:21" x14ac:dyDescent="0.25">
      <c r="L871"/>
      <c r="M871"/>
      <c r="N871"/>
      <c r="O871"/>
      <c r="P871"/>
      <c r="Q871"/>
      <c r="R871"/>
      <c r="S871"/>
      <c r="T871"/>
      <c r="U871"/>
    </row>
    <row r="872" spans="12:21" x14ac:dyDescent="0.25">
      <c r="L872"/>
      <c r="M872"/>
      <c r="N872"/>
      <c r="O872"/>
      <c r="P872"/>
      <c r="Q872"/>
      <c r="R872"/>
      <c r="S872"/>
      <c r="T872"/>
      <c r="U872"/>
    </row>
    <row r="873" spans="12:21" x14ac:dyDescent="0.25">
      <c r="L873"/>
      <c r="M873"/>
      <c r="N873"/>
      <c r="O873"/>
      <c r="P873"/>
      <c r="Q873"/>
      <c r="R873"/>
      <c r="S873"/>
      <c r="T873"/>
      <c r="U873"/>
    </row>
    <row r="874" spans="12:21" x14ac:dyDescent="0.25">
      <c r="L874"/>
      <c r="M874"/>
      <c r="N874"/>
      <c r="O874"/>
      <c r="P874"/>
      <c r="Q874"/>
      <c r="R874"/>
      <c r="S874"/>
      <c r="T874"/>
      <c r="U874"/>
    </row>
    <row r="875" spans="12:21" x14ac:dyDescent="0.25">
      <c r="L875"/>
      <c r="M875"/>
      <c r="N875"/>
      <c r="O875"/>
      <c r="P875"/>
      <c r="Q875"/>
      <c r="R875"/>
      <c r="S875"/>
      <c r="T875"/>
      <c r="U875"/>
    </row>
    <row r="876" spans="12:21" x14ac:dyDescent="0.25">
      <c r="L876"/>
      <c r="M876"/>
      <c r="N876"/>
      <c r="O876"/>
      <c r="P876"/>
      <c r="Q876"/>
      <c r="R876"/>
      <c r="S876"/>
      <c r="T876"/>
      <c r="U876"/>
    </row>
    <row r="877" spans="12:21" x14ac:dyDescent="0.25">
      <c r="L877"/>
      <c r="M877"/>
      <c r="N877"/>
      <c r="O877"/>
      <c r="P877"/>
      <c r="Q877"/>
      <c r="R877"/>
      <c r="S877"/>
      <c r="T877"/>
      <c r="U877"/>
    </row>
    <row r="878" spans="12:21" x14ac:dyDescent="0.25">
      <c r="L878"/>
      <c r="M878"/>
      <c r="N878"/>
      <c r="O878"/>
      <c r="P878"/>
      <c r="Q878"/>
      <c r="R878"/>
      <c r="S878"/>
      <c r="T878"/>
      <c r="U878"/>
    </row>
    <row r="879" spans="12:21" x14ac:dyDescent="0.25">
      <c r="L879"/>
      <c r="M879"/>
      <c r="N879"/>
      <c r="O879"/>
      <c r="P879"/>
      <c r="Q879"/>
      <c r="R879"/>
      <c r="S879"/>
      <c r="T879"/>
      <c r="U879"/>
    </row>
    <row r="880" spans="12:21" x14ac:dyDescent="0.25">
      <c r="L880"/>
      <c r="M880"/>
      <c r="N880"/>
      <c r="O880"/>
      <c r="P880"/>
      <c r="Q880"/>
      <c r="R880"/>
      <c r="S880"/>
      <c r="T880"/>
      <c r="U880"/>
    </row>
    <row r="881" spans="12:21" x14ac:dyDescent="0.25">
      <c r="L881"/>
      <c r="M881"/>
      <c r="N881"/>
      <c r="O881"/>
      <c r="P881"/>
      <c r="Q881"/>
      <c r="R881"/>
      <c r="S881"/>
      <c r="T881"/>
      <c r="U881"/>
    </row>
    <row r="882" spans="12:21" x14ac:dyDescent="0.25">
      <c r="L882"/>
      <c r="M882"/>
      <c r="N882"/>
      <c r="O882"/>
      <c r="P882"/>
      <c r="Q882"/>
      <c r="R882"/>
      <c r="S882"/>
      <c r="T882"/>
      <c r="U882"/>
    </row>
    <row r="883" spans="12:21" x14ac:dyDescent="0.25">
      <c r="L883"/>
      <c r="M883"/>
      <c r="N883"/>
      <c r="O883"/>
      <c r="P883"/>
      <c r="Q883"/>
      <c r="R883"/>
      <c r="S883"/>
      <c r="T883"/>
      <c r="U883"/>
    </row>
    <row r="884" spans="12:21" x14ac:dyDescent="0.25">
      <c r="L884"/>
      <c r="M884"/>
      <c r="N884"/>
      <c r="O884"/>
      <c r="P884"/>
      <c r="Q884"/>
      <c r="R884"/>
      <c r="S884"/>
      <c r="T884"/>
      <c r="U884"/>
    </row>
    <row r="885" spans="12:21" x14ac:dyDescent="0.25">
      <c r="L885"/>
      <c r="M885"/>
      <c r="N885"/>
      <c r="O885"/>
      <c r="P885"/>
      <c r="Q885"/>
      <c r="R885"/>
      <c r="S885"/>
      <c r="T885"/>
      <c r="U885"/>
    </row>
    <row r="886" spans="12:21" x14ac:dyDescent="0.25">
      <c r="L886"/>
      <c r="M886"/>
      <c r="N886"/>
      <c r="O886"/>
      <c r="P886"/>
      <c r="Q886"/>
      <c r="R886"/>
      <c r="S886"/>
      <c r="T886"/>
      <c r="U886"/>
    </row>
    <row r="887" spans="12:21" x14ac:dyDescent="0.25">
      <c r="L887"/>
      <c r="M887"/>
      <c r="N887"/>
      <c r="O887"/>
      <c r="P887"/>
      <c r="Q887"/>
      <c r="R887"/>
      <c r="S887"/>
      <c r="T887"/>
      <c r="U887"/>
    </row>
    <row r="888" spans="12:21" x14ac:dyDescent="0.25">
      <c r="L888"/>
      <c r="M888"/>
      <c r="N888"/>
      <c r="O888"/>
      <c r="P888"/>
      <c r="Q888"/>
      <c r="R888"/>
      <c r="S888"/>
      <c r="T888"/>
      <c r="U888"/>
    </row>
    <row r="889" spans="12:21" x14ac:dyDescent="0.25">
      <c r="L889"/>
      <c r="M889"/>
      <c r="N889"/>
      <c r="O889"/>
      <c r="P889"/>
      <c r="Q889"/>
      <c r="R889"/>
      <c r="S889"/>
      <c r="T889"/>
      <c r="U889"/>
    </row>
    <row r="890" spans="12:21" x14ac:dyDescent="0.25">
      <c r="L890"/>
      <c r="M890"/>
      <c r="N890"/>
      <c r="O890"/>
      <c r="P890"/>
      <c r="Q890"/>
      <c r="R890"/>
      <c r="S890"/>
      <c r="T890"/>
      <c r="U890"/>
    </row>
    <row r="891" spans="12:21" x14ac:dyDescent="0.25">
      <c r="L891"/>
      <c r="M891"/>
      <c r="N891"/>
      <c r="O891"/>
      <c r="P891"/>
      <c r="Q891"/>
      <c r="R891"/>
      <c r="S891"/>
      <c r="T891"/>
      <c r="U891"/>
    </row>
    <row r="892" spans="12:21" x14ac:dyDescent="0.25">
      <c r="L892"/>
      <c r="M892"/>
      <c r="N892"/>
      <c r="O892"/>
      <c r="P892"/>
      <c r="Q892"/>
      <c r="R892"/>
      <c r="S892"/>
      <c r="T892"/>
      <c r="U892"/>
    </row>
    <row r="893" spans="12:21" x14ac:dyDescent="0.25">
      <c r="L893"/>
      <c r="M893"/>
      <c r="N893"/>
      <c r="O893"/>
      <c r="P893"/>
      <c r="Q893"/>
      <c r="R893"/>
      <c r="S893"/>
      <c r="T893"/>
      <c r="U893"/>
    </row>
    <row r="894" spans="12:21" x14ac:dyDescent="0.25">
      <c r="L894"/>
      <c r="M894"/>
      <c r="N894"/>
      <c r="O894"/>
      <c r="P894"/>
      <c r="Q894"/>
      <c r="R894"/>
      <c r="S894"/>
      <c r="T894"/>
      <c r="U894"/>
    </row>
    <row r="895" spans="12:21" x14ac:dyDescent="0.25">
      <c r="L895"/>
      <c r="M895"/>
      <c r="N895"/>
      <c r="O895"/>
      <c r="P895"/>
      <c r="Q895"/>
      <c r="R895"/>
      <c r="S895"/>
      <c r="T895"/>
      <c r="U895"/>
    </row>
    <row r="896" spans="12:21" x14ac:dyDescent="0.25">
      <c r="L896"/>
      <c r="M896"/>
      <c r="N896"/>
      <c r="O896"/>
      <c r="P896"/>
      <c r="Q896"/>
      <c r="R896"/>
      <c r="S896"/>
      <c r="T896"/>
      <c r="U896"/>
    </row>
    <row r="897" spans="12:21" x14ac:dyDescent="0.25">
      <c r="L897"/>
      <c r="M897"/>
      <c r="N897"/>
      <c r="O897"/>
      <c r="P897"/>
      <c r="Q897"/>
      <c r="R897"/>
      <c r="S897"/>
      <c r="T897"/>
      <c r="U897"/>
    </row>
    <row r="898" spans="12:21" x14ac:dyDescent="0.25">
      <c r="L898"/>
      <c r="M898"/>
      <c r="N898"/>
      <c r="O898"/>
      <c r="P898"/>
      <c r="Q898"/>
      <c r="R898"/>
      <c r="S898"/>
      <c r="T898"/>
      <c r="U898"/>
    </row>
    <row r="899" spans="12:21" x14ac:dyDescent="0.25">
      <c r="L899"/>
      <c r="M899"/>
      <c r="N899"/>
      <c r="O899"/>
      <c r="P899"/>
      <c r="Q899"/>
      <c r="R899"/>
      <c r="S899"/>
      <c r="T899"/>
      <c r="U899"/>
    </row>
    <row r="900" spans="12:21" x14ac:dyDescent="0.25">
      <c r="L900"/>
      <c r="M900"/>
      <c r="N900"/>
      <c r="O900"/>
      <c r="P900"/>
      <c r="Q900"/>
      <c r="R900"/>
      <c r="S900"/>
      <c r="T900"/>
      <c r="U900"/>
    </row>
    <row r="901" spans="12:21" x14ac:dyDescent="0.25">
      <c r="L901"/>
      <c r="M901"/>
      <c r="N901"/>
      <c r="O901"/>
      <c r="P901"/>
      <c r="Q901"/>
      <c r="R901"/>
      <c r="S901"/>
      <c r="T901"/>
      <c r="U901"/>
    </row>
    <row r="902" spans="12:21" x14ac:dyDescent="0.25">
      <c r="L902"/>
      <c r="M902"/>
      <c r="N902"/>
      <c r="O902"/>
      <c r="P902"/>
      <c r="Q902"/>
      <c r="R902"/>
      <c r="S902"/>
      <c r="T902"/>
      <c r="U902"/>
    </row>
    <row r="903" spans="12:21" x14ac:dyDescent="0.25">
      <c r="L903"/>
      <c r="M903"/>
      <c r="N903"/>
      <c r="O903"/>
      <c r="P903"/>
      <c r="Q903"/>
      <c r="R903"/>
      <c r="S903"/>
      <c r="T903"/>
      <c r="U903"/>
    </row>
    <row r="904" spans="12:21" x14ac:dyDescent="0.25">
      <c r="L904"/>
      <c r="M904"/>
      <c r="N904"/>
      <c r="O904"/>
      <c r="P904"/>
      <c r="Q904"/>
      <c r="R904"/>
      <c r="S904"/>
      <c r="T904"/>
      <c r="U904"/>
    </row>
    <row r="905" spans="12:21" x14ac:dyDescent="0.25">
      <c r="L905"/>
      <c r="M905"/>
      <c r="N905"/>
      <c r="O905"/>
      <c r="P905"/>
      <c r="Q905"/>
      <c r="R905"/>
      <c r="S905"/>
      <c r="T905"/>
      <c r="U905"/>
    </row>
    <row r="906" spans="12:21" x14ac:dyDescent="0.25">
      <c r="L906"/>
      <c r="M906"/>
      <c r="N906"/>
      <c r="O906"/>
      <c r="P906"/>
      <c r="Q906"/>
      <c r="R906"/>
      <c r="S906"/>
      <c r="T906"/>
      <c r="U906"/>
    </row>
    <row r="907" spans="12:21" x14ac:dyDescent="0.25">
      <c r="L907"/>
      <c r="M907"/>
      <c r="N907"/>
      <c r="O907"/>
      <c r="P907"/>
      <c r="Q907"/>
      <c r="R907"/>
      <c r="S907"/>
      <c r="T907"/>
      <c r="U907"/>
    </row>
    <row r="908" spans="12:21" x14ac:dyDescent="0.25">
      <c r="L908"/>
      <c r="M908"/>
      <c r="N908"/>
      <c r="O908"/>
      <c r="P908"/>
      <c r="Q908"/>
      <c r="R908"/>
      <c r="S908"/>
      <c r="T908"/>
      <c r="U908"/>
    </row>
    <row r="909" spans="12:21" x14ac:dyDescent="0.25">
      <c r="L909"/>
      <c r="M909"/>
      <c r="N909"/>
      <c r="O909"/>
      <c r="P909"/>
      <c r="Q909"/>
      <c r="R909"/>
      <c r="S909"/>
      <c r="T909"/>
      <c r="U909"/>
    </row>
    <row r="910" spans="12:21" x14ac:dyDescent="0.25">
      <c r="L910"/>
      <c r="M910"/>
      <c r="N910"/>
      <c r="O910"/>
      <c r="P910"/>
      <c r="Q910"/>
      <c r="R910"/>
      <c r="S910"/>
      <c r="T910"/>
      <c r="U910"/>
    </row>
    <row r="911" spans="12:21" x14ac:dyDescent="0.25">
      <c r="L911"/>
      <c r="M911"/>
      <c r="N911"/>
      <c r="O911"/>
      <c r="P911"/>
      <c r="Q911"/>
      <c r="R911"/>
      <c r="S911"/>
      <c r="T911"/>
      <c r="U911"/>
    </row>
    <row r="912" spans="12:21" x14ac:dyDescent="0.25">
      <c r="L912"/>
      <c r="M912"/>
      <c r="N912"/>
      <c r="O912"/>
      <c r="P912"/>
      <c r="Q912"/>
      <c r="R912"/>
      <c r="S912"/>
      <c r="T912"/>
      <c r="U912"/>
    </row>
    <row r="913" spans="12:21" x14ac:dyDescent="0.25">
      <c r="L913"/>
      <c r="M913"/>
      <c r="N913"/>
      <c r="O913"/>
      <c r="P913"/>
      <c r="Q913"/>
      <c r="R913"/>
      <c r="S913"/>
      <c r="T913"/>
      <c r="U913"/>
    </row>
    <row r="914" spans="12:21" x14ac:dyDescent="0.25">
      <c r="L914"/>
      <c r="M914"/>
      <c r="N914"/>
      <c r="O914"/>
      <c r="P914"/>
      <c r="Q914"/>
      <c r="R914"/>
      <c r="S914"/>
      <c r="T914"/>
      <c r="U914"/>
    </row>
    <row r="915" spans="12:21" x14ac:dyDescent="0.25">
      <c r="L915"/>
      <c r="M915"/>
      <c r="N915"/>
      <c r="O915"/>
      <c r="P915"/>
      <c r="Q915"/>
      <c r="R915"/>
      <c r="S915"/>
      <c r="T915"/>
      <c r="U915"/>
    </row>
    <row r="916" spans="12:21" x14ac:dyDescent="0.25">
      <c r="L916"/>
      <c r="M916"/>
      <c r="N916"/>
      <c r="O916"/>
      <c r="P916"/>
      <c r="Q916"/>
      <c r="R916"/>
      <c r="S916"/>
      <c r="T916"/>
      <c r="U916"/>
    </row>
    <row r="917" spans="12:21" x14ac:dyDescent="0.25">
      <c r="L917"/>
      <c r="M917"/>
      <c r="N917"/>
      <c r="O917"/>
      <c r="P917"/>
      <c r="Q917"/>
      <c r="R917"/>
      <c r="S917"/>
      <c r="T917"/>
      <c r="U917"/>
    </row>
    <row r="918" spans="12:21" x14ac:dyDescent="0.25">
      <c r="L918"/>
      <c r="M918"/>
      <c r="N918"/>
      <c r="O918"/>
      <c r="P918"/>
      <c r="Q918"/>
      <c r="R918"/>
      <c r="S918"/>
      <c r="T918"/>
      <c r="U918"/>
    </row>
    <row r="919" spans="12:21" x14ac:dyDescent="0.25">
      <c r="L919"/>
      <c r="M919"/>
      <c r="N919"/>
      <c r="O919"/>
      <c r="P919"/>
      <c r="Q919"/>
      <c r="R919"/>
      <c r="S919"/>
      <c r="T919"/>
      <c r="U919"/>
    </row>
    <row r="920" spans="12:21" x14ac:dyDescent="0.25">
      <c r="L920"/>
      <c r="M920"/>
      <c r="N920"/>
      <c r="O920"/>
      <c r="P920"/>
      <c r="Q920"/>
      <c r="R920"/>
      <c r="S920"/>
      <c r="T920"/>
      <c r="U920"/>
    </row>
    <row r="921" spans="12:21" x14ac:dyDescent="0.25">
      <c r="L921"/>
      <c r="M921"/>
      <c r="N921"/>
      <c r="O921"/>
      <c r="P921"/>
      <c r="Q921"/>
      <c r="R921"/>
      <c r="S921"/>
      <c r="T921"/>
      <c r="U921"/>
    </row>
    <row r="922" spans="12:21" x14ac:dyDescent="0.25">
      <c r="L922"/>
      <c r="M922"/>
      <c r="N922"/>
      <c r="O922"/>
      <c r="P922"/>
      <c r="Q922"/>
      <c r="R922"/>
      <c r="S922"/>
      <c r="T922"/>
      <c r="U922"/>
    </row>
    <row r="923" spans="12:21" x14ac:dyDescent="0.25">
      <c r="L923"/>
      <c r="M923"/>
      <c r="N923"/>
      <c r="O923"/>
      <c r="P923"/>
      <c r="Q923"/>
      <c r="R923"/>
      <c r="S923"/>
      <c r="T923"/>
      <c r="U923"/>
    </row>
    <row r="924" spans="12:21" x14ac:dyDescent="0.25">
      <c r="L924"/>
      <c r="M924"/>
      <c r="N924"/>
      <c r="O924"/>
      <c r="P924"/>
      <c r="Q924"/>
      <c r="R924"/>
      <c r="S924"/>
      <c r="T924"/>
      <c r="U924"/>
    </row>
    <row r="925" spans="12:21" x14ac:dyDescent="0.25">
      <c r="L925"/>
      <c r="M925"/>
      <c r="N925"/>
      <c r="O925"/>
      <c r="P925"/>
      <c r="Q925"/>
      <c r="R925"/>
      <c r="S925"/>
      <c r="T925"/>
      <c r="U925"/>
    </row>
    <row r="926" spans="12:21" x14ac:dyDescent="0.25">
      <c r="L926"/>
      <c r="M926"/>
      <c r="N926"/>
      <c r="O926"/>
      <c r="P926"/>
      <c r="Q926"/>
      <c r="R926"/>
      <c r="S926"/>
      <c r="T926"/>
      <c r="U926"/>
    </row>
    <row r="927" spans="12:21" x14ac:dyDescent="0.25">
      <c r="L927"/>
      <c r="M927"/>
      <c r="N927"/>
      <c r="O927"/>
      <c r="P927"/>
      <c r="Q927"/>
      <c r="R927"/>
      <c r="S927"/>
      <c r="T927"/>
      <c r="U927"/>
    </row>
    <row r="928" spans="12:21" x14ac:dyDescent="0.25">
      <c r="L928"/>
      <c r="M928"/>
      <c r="N928"/>
      <c r="O928"/>
      <c r="P928"/>
      <c r="Q928"/>
      <c r="R928"/>
      <c r="S928"/>
      <c r="T928"/>
      <c r="U928"/>
    </row>
    <row r="929" spans="12:21" x14ac:dyDescent="0.25">
      <c r="L929"/>
      <c r="M929"/>
      <c r="N929"/>
      <c r="O929"/>
      <c r="P929"/>
      <c r="Q929"/>
      <c r="R929"/>
      <c r="S929"/>
      <c r="T929"/>
      <c r="U929"/>
    </row>
    <row r="930" spans="12:21" x14ac:dyDescent="0.25">
      <c r="L930"/>
      <c r="M930"/>
      <c r="N930"/>
      <c r="O930"/>
      <c r="P930"/>
      <c r="Q930"/>
      <c r="R930"/>
      <c r="S930"/>
      <c r="T930"/>
      <c r="U930"/>
    </row>
    <row r="931" spans="12:21" x14ac:dyDescent="0.25">
      <c r="L931"/>
      <c r="M931"/>
      <c r="N931"/>
      <c r="O931"/>
      <c r="P931"/>
      <c r="Q931"/>
      <c r="R931"/>
      <c r="S931"/>
      <c r="T931"/>
      <c r="U931"/>
    </row>
    <row r="932" spans="12:21" x14ac:dyDescent="0.25">
      <c r="L932"/>
      <c r="M932"/>
      <c r="N932"/>
      <c r="O932"/>
      <c r="P932"/>
      <c r="Q932"/>
      <c r="R932"/>
      <c r="S932"/>
      <c r="T932"/>
      <c r="U932"/>
    </row>
    <row r="933" spans="12:21" x14ac:dyDescent="0.25">
      <c r="L933"/>
      <c r="M933"/>
      <c r="N933"/>
      <c r="O933"/>
      <c r="P933"/>
      <c r="Q933"/>
      <c r="R933"/>
      <c r="S933"/>
      <c r="T933"/>
      <c r="U933"/>
    </row>
    <row r="934" spans="12:21" x14ac:dyDescent="0.25">
      <c r="L934"/>
      <c r="M934"/>
      <c r="N934"/>
      <c r="O934"/>
      <c r="P934"/>
      <c r="Q934"/>
      <c r="R934"/>
      <c r="S934"/>
      <c r="T934"/>
      <c r="U934"/>
    </row>
    <row r="935" spans="12:21" x14ac:dyDescent="0.25">
      <c r="L935"/>
      <c r="M935"/>
      <c r="N935"/>
      <c r="O935"/>
      <c r="P935"/>
      <c r="Q935"/>
      <c r="R935"/>
      <c r="S935"/>
      <c r="T935"/>
      <c r="U935"/>
    </row>
    <row r="936" spans="12:21" x14ac:dyDescent="0.25">
      <c r="L936"/>
      <c r="M936"/>
      <c r="N936"/>
      <c r="O936"/>
      <c r="P936"/>
      <c r="Q936"/>
      <c r="R936"/>
      <c r="S936"/>
      <c r="T936"/>
      <c r="U936"/>
    </row>
    <row r="937" spans="12:21" x14ac:dyDescent="0.25">
      <c r="L937"/>
      <c r="M937"/>
      <c r="N937"/>
      <c r="O937"/>
      <c r="P937"/>
      <c r="Q937"/>
      <c r="R937"/>
      <c r="S937"/>
      <c r="T937"/>
      <c r="U937"/>
    </row>
    <row r="938" spans="12:21" x14ac:dyDescent="0.25">
      <c r="L938"/>
      <c r="M938"/>
      <c r="N938"/>
      <c r="O938"/>
      <c r="P938"/>
      <c r="Q938"/>
      <c r="R938"/>
      <c r="S938"/>
      <c r="T938"/>
      <c r="U938"/>
    </row>
    <row r="939" spans="12:21" x14ac:dyDescent="0.25">
      <c r="L939"/>
      <c r="M939"/>
      <c r="N939"/>
      <c r="O939"/>
      <c r="P939"/>
      <c r="Q939"/>
      <c r="R939"/>
      <c r="S939"/>
      <c r="T939"/>
      <c r="U939"/>
    </row>
    <row r="940" spans="12:21" x14ac:dyDescent="0.25">
      <c r="L940"/>
      <c r="M940"/>
      <c r="N940"/>
      <c r="O940"/>
      <c r="P940"/>
      <c r="Q940"/>
      <c r="R940"/>
      <c r="S940"/>
      <c r="T940"/>
      <c r="U940"/>
    </row>
    <row r="941" spans="12:21" x14ac:dyDescent="0.25">
      <c r="L941"/>
      <c r="M941"/>
      <c r="N941"/>
      <c r="O941"/>
      <c r="P941"/>
      <c r="Q941"/>
      <c r="R941"/>
      <c r="S941"/>
      <c r="T941"/>
      <c r="U941"/>
    </row>
    <row r="942" spans="12:21" x14ac:dyDescent="0.25">
      <c r="L942"/>
      <c r="M942"/>
      <c r="N942"/>
      <c r="O942"/>
      <c r="P942"/>
      <c r="Q942"/>
      <c r="R942"/>
      <c r="S942"/>
      <c r="T942"/>
      <c r="U942"/>
    </row>
    <row r="943" spans="12:21" x14ac:dyDescent="0.25">
      <c r="L943"/>
      <c r="M943"/>
      <c r="N943"/>
      <c r="O943"/>
      <c r="P943"/>
      <c r="Q943"/>
      <c r="R943"/>
      <c r="S943"/>
      <c r="T943"/>
      <c r="U943"/>
    </row>
    <row r="944" spans="12:21" x14ac:dyDescent="0.25">
      <c r="L944"/>
      <c r="M944"/>
      <c r="N944"/>
      <c r="O944"/>
      <c r="P944"/>
      <c r="Q944"/>
      <c r="R944"/>
      <c r="S944"/>
      <c r="T944"/>
      <c r="U944"/>
    </row>
    <row r="945" spans="12:21" x14ac:dyDescent="0.25">
      <c r="L945"/>
      <c r="M945"/>
      <c r="N945"/>
      <c r="O945"/>
      <c r="P945"/>
      <c r="Q945"/>
      <c r="R945"/>
      <c r="S945"/>
      <c r="T945"/>
      <c r="U945"/>
    </row>
    <row r="946" spans="12:21" x14ac:dyDescent="0.25">
      <c r="L946"/>
      <c r="M946"/>
      <c r="N946"/>
      <c r="O946"/>
      <c r="P946"/>
      <c r="Q946"/>
      <c r="R946"/>
      <c r="S946"/>
      <c r="T946"/>
      <c r="U946"/>
    </row>
    <row r="947" spans="12:21" x14ac:dyDescent="0.25">
      <c r="L947"/>
      <c r="M947"/>
      <c r="N947"/>
      <c r="O947"/>
      <c r="P947"/>
      <c r="Q947"/>
      <c r="R947"/>
      <c r="S947"/>
      <c r="T947"/>
      <c r="U947"/>
    </row>
    <row r="948" spans="12:21" x14ac:dyDescent="0.25">
      <c r="L948"/>
      <c r="M948"/>
      <c r="N948"/>
      <c r="O948"/>
      <c r="P948"/>
      <c r="Q948"/>
      <c r="R948"/>
      <c r="S948"/>
      <c r="T948"/>
      <c r="U948"/>
    </row>
    <row r="949" spans="12:21" x14ac:dyDescent="0.25">
      <c r="L949"/>
      <c r="M949"/>
      <c r="N949"/>
      <c r="O949"/>
      <c r="P949"/>
      <c r="Q949"/>
      <c r="R949"/>
      <c r="S949"/>
      <c r="T949"/>
      <c r="U949"/>
    </row>
    <row r="950" spans="12:21" x14ac:dyDescent="0.25">
      <c r="L950"/>
      <c r="M950"/>
      <c r="N950"/>
      <c r="O950"/>
      <c r="P950"/>
      <c r="Q950"/>
      <c r="R950"/>
      <c r="S950"/>
      <c r="T950"/>
      <c r="U950"/>
    </row>
    <row r="951" spans="12:21" x14ac:dyDescent="0.25">
      <c r="L951"/>
      <c r="M951"/>
      <c r="N951"/>
      <c r="O951"/>
      <c r="P951"/>
      <c r="Q951"/>
      <c r="R951"/>
      <c r="S951"/>
      <c r="T951"/>
      <c r="U951"/>
    </row>
    <row r="952" spans="12:21" x14ac:dyDescent="0.25">
      <c r="L952"/>
      <c r="M952"/>
      <c r="N952"/>
      <c r="O952"/>
      <c r="P952"/>
      <c r="Q952"/>
      <c r="R952"/>
      <c r="S952"/>
      <c r="T952"/>
      <c r="U952"/>
    </row>
    <row r="953" spans="12:21" x14ac:dyDescent="0.25">
      <c r="L953"/>
      <c r="M953"/>
      <c r="N953"/>
      <c r="O953"/>
      <c r="P953"/>
      <c r="Q953"/>
      <c r="R953"/>
      <c r="S953"/>
      <c r="T953"/>
      <c r="U953"/>
    </row>
    <row r="954" spans="12:21" x14ac:dyDescent="0.25">
      <c r="L954"/>
      <c r="M954"/>
      <c r="N954"/>
      <c r="O954"/>
      <c r="P954"/>
      <c r="Q954"/>
      <c r="R954"/>
      <c r="S954"/>
      <c r="T954"/>
      <c r="U954"/>
    </row>
    <row r="955" spans="12:21" x14ac:dyDescent="0.25">
      <c r="L955"/>
      <c r="M955"/>
      <c r="N955"/>
      <c r="O955"/>
      <c r="P955"/>
      <c r="Q955"/>
      <c r="R955"/>
      <c r="S955"/>
      <c r="T955"/>
      <c r="U955"/>
    </row>
    <row r="956" spans="12:21" x14ac:dyDescent="0.25">
      <c r="L956"/>
      <c r="M956"/>
      <c r="N956"/>
      <c r="O956"/>
      <c r="P956"/>
      <c r="Q956"/>
      <c r="R956"/>
      <c r="S956"/>
      <c r="T956"/>
      <c r="U956"/>
    </row>
    <row r="957" spans="12:21" x14ac:dyDescent="0.25">
      <c r="L957"/>
      <c r="M957"/>
      <c r="N957"/>
      <c r="O957"/>
      <c r="P957"/>
      <c r="Q957"/>
      <c r="R957"/>
      <c r="S957"/>
      <c r="T957"/>
      <c r="U957"/>
    </row>
    <row r="958" spans="12:21" x14ac:dyDescent="0.25">
      <c r="L958"/>
      <c r="M958"/>
      <c r="N958"/>
      <c r="O958"/>
      <c r="P958"/>
      <c r="Q958"/>
      <c r="R958"/>
      <c r="S958"/>
      <c r="T958"/>
      <c r="U958"/>
    </row>
    <row r="959" spans="12:21" x14ac:dyDescent="0.25">
      <c r="L959"/>
      <c r="M959"/>
      <c r="N959"/>
      <c r="O959"/>
      <c r="P959"/>
      <c r="Q959"/>
      <c r="R959"/>
      <c r="S959"/>
      <c r="T959"/>
      <c r="U959"/>
    </row>
    <row r="960" spans="12:21" x14ac:dyDescent="0.25">
      <c r="L960"/>
      <c r="M960"/>
      <c r="N960"/>
      <c r="O960"/>
      <c r="P960"/>
      <c r="Q960"/>
      <c r="R960"/>
      <c r="S960"/>
      <c r="T960"/>
      <c r="U960"/>
    </row>
    <row r="961" spans="12:21" x14ac:dyDescent="0.25">
      <c r="L961"/>
      <c r="M961"/>
      <c r="N961"/>
      <c r="O961"/>
      <c r="P961"/>
      <c r="Q961"/>
      <c r="R961"/>
      <c r="S961"/>
      <c r="T961"/>
      <c r="U961"/>
    </row>
    <row r="962" spans="12:21" x14ac:dyDescent="0.25">
      <c r="L962"/>
      <c r="M962"/>
      <c r="N962"/>
      <c r="O962"/>
      <c r="P962"/>
      <c r="Q962"/>
      <c r="R962"/>
      <c r="S962"/>
      <c r="T962"/>
      <c r="U962"/>
    </row>
    <row r="963" spans="12:21" x14ac:dyDescent="0.25">
      <c r="L963"/>
      <c r="M963"/>
      <c r="N963"/>
      <c r="O963"/>
      <c r="P963"/>
      <c r="Q963"/>
      <c r="R963"/>
      <c r="S963"/>
      <c r="T963"/>
      <c r="U963"/>
    </row>
    <row r="964" spans="12:21" x14ac:dyDescent="0.25">
      <c r="L964"/>
      <c r="M964"/>
      <c r="N964"/>
      <c r="O964"/>
      <c r="P964"/>
      <c r="Q964"/>
      <c r="R964"/>
      <c r="S964"/>
      <c r="T964"/>
      <c r="U964"/>
    </row>
    <row r="965" spans="12:21" x14ac:dyDescent="0.25">
      <c r="L965"/>
      <c r="M965"/>
      <c r="N965"/>
      <c r="O965"/>
      <c r="P965"/>
      <c r="Q965"/>
      <c r="R965"/>
      <c r="S965"/>
      <c r="T965"/>
      <c r="U965"/>
    </row>
    <row r="966" spans="12:21" x14ac:dyDescent="0.25">
      <c r="L966"/>
      <c r="M966"/>
      <c r="N966"/>
      <c r="O966"/>
      <c r="P966"/>
      <c r="Q966"/>
      <c r="R966"/>
      <c r="S966"/>
      <c r="T966"/>
      <c r="U966"/>
    </row>
    <row r="967" spans="12:21" x14ac:dyDescent="0.25">
      <c r="L967"/>
      <c r="M967"/>
      <c r="N967"/>
      <c r="O967"/>
      <c r="P967"/>
      <c r="Q967"/>
      <c r="R967"/>
      <c r="S967"/>
      <c r="T967"/>
      <c r="U967"/>
    </row>
    <row r="968" spans="12:21" x14ac:dyDescent="0.25">
      <c r="L968"/>
      <c r="M968"/>
      <c r="N968"/>
      <c r="O968"/>
      <c r="P968"/>
      <c r="Q968"/>
      <c r="R968"/>
      <c r="S968"/>
      <c r="T968"/>
      <c r="U968"/>
    </row>
    <row r="969" spans="12:21" x14ac:dyDescent="0.25">
      <c r="L969"/>
      <c r="M969"/>
      <c r="N969"/>
      <c r="O969"/>
      <c r="P969"/>
      <c r="Q969"/>
      <c r="R969"/>
      <c r="S969"/>
      <c r="T969"/>
      <c r="U969"/>
    </row>
    <row r="970" spans="12:21" x14ac:dyDescent="0.25">
      <c r="L970"/>
      <c r="M970"/>
      <c r="N970"/>
      <c r="O970"/>
      <c r="P970"/>
      <c r="Q970"/>
      <c r="R970"/>
      <c r="S970"/>
      <c r="T970"/>
      <c r="U970"/>
    </row>
    <row r="971" spans="12:21" x14ac:dyDescent="0.25">
      <c r="L971"/>
      <c r="M971"/>
      <c r="N971"/>
      <c r="O971"/>
      <c r="P971"/>
      <c r="Q971"/>
      <c r="R971"/>
      <c r="S971"/>
      <c r="T971"/>
      <c r="U971"/>
    </row>
    <row r="972" spans="12:21" x14ac:dyDescent="0.25">
      <c r="L972"/>
      <c r="M972"/>
      <c r="N972"/>
      <c r="O972"/>
      <c r="P972"/>
      <c r="Q972"/>
      <c r="R972"/>
      <c r="S972"/>
      <c r="T972"/>
      <c r="U972"/>
    </row>
    <row r="973" spans="12:21" x14ac:dyDescent="0.25">
      <c r="L973"/>
      <c r="M973"/>
      <c r="N973"/>
      <c r="O973"/>
      <c r="P973"/>
      <c r="Q973"/>
      <c r="R973"/>
      <c r="S973"/>
      <c r="T973"/>
      <c r="U973"/>
    </row>
    <row r="974" spans="12:21" x14ac:dyDescent="0.25">
      <c r="L974"/>
      <c r="M974"/>
      <c r="N974"/>
      <c r="O974"/>
      <c r="P974"/>
      <c r="Q974"/>
      <c r="R974"/>
      <c r="S974"/>
      <c r="T974"/>
      <c r="U974"/>
    </row>
    <row r="975" spans="12:21" x14ac:dyDescent="0.25">
      <c r="L975"/>
      <c r="M975"/>
      <c r="N975"/>
      <c r="O975"/>
      <c r="P975"/>
      <c r="Q975"/>
      <c r="R975"/>
      <c r="S975"/>
      <c r="T975"/>
      <c r="U975"/>
    </row>
    <row r="976" spans="12:21" x14ac:dyDescent="0.25">
      <c r="L976"/>
      <c r="M976"/>
      <c r="N976"/>
      <c r="O976"/>
      <c r="P976"/>
      <c r="Q976"/>
      <c r="R976"/>
      <c r="S976"/>
      <c r="T976"/>
      <c r="U976"/>
    </row>
    <row r="977" spans="12:21" x14ac:dyDescent="0.25">
      <c r="L977"/>
      <c r="M977"/>
      <c r="N977"/>
      <c r="O977"/>
      <c r="P977"/>
      <c r="Q977"/>
      <c r="R977"/>
      <c r="S977"/>
      <c r="T977"/>
      <c r="U977"/>
    </row>
    <row r="978" spans="12:21" x14ac:dyDescent="0.25">
      <c r="L978"/>
      <c r="M978"/>
      <c r="N978"/>
      <c r="O978"/>
      <c r="P978"/>
      <c r="Q978"/>
      <c r="R978"/>
      <c r="S978"/>
      <c r="T978"/>
      <c r="U978"/>
    </row>
    <row r="979" spans="12:21" x14ac:dyDescent="0.25">
      <c r="L979"/>
      <c r="M979"/>
      <c r="N979"/>
      <c r="O979"/>
      <c r="P979"/>
      <c r="Q979"/>
      <c r="R979"/>
      <c r="S979"/>
      <c r="T979"/>
      <c r="U979"/>
    </row>
    <row r="980" spans="12:21" x14ac:dyDescent="0.25">
      <c r="L980"/>
      <c r="M980"/>
      <c r="N980"/>
      <c r="O980"/>
      <c r="P980"/>
      <c r="Q980"/>
      <c r="R980"/>
      <c r="S980"/>
      <c r="T980"/>
      <c r="U980"/>
    </row>
    <row r="981" spans="12:21" x14ac:dyDescent="0.25">
      <c r="L981"/>
      <c r="M981"/>
      <c r="N981"/>
      <c r="O981"/>
      <c r="P981"/>
      <c r="Q981"/>
      <c r="R981"/>
      <c r="S981"/>
      <c r="T981"/>
      <c r="U981"/>
    </row>
    <row r="982" spans="12:21" x14ac:dyDescent="0.25">
      <c r="L982"/>
      <c r="M982"/>
      <c r="N982"/>
      <c r="O982"/>
      <c r="P982"/>
      <c r="Q982"/>
      <c r="R982"/>
      <c r="S982"/>
      <c r="T982"/>
      <c r="U982"/>
    </row>
    <row r="983" spans="12:21" x14ac:dyDescent="0.25">
      <c r="L983"/>
      <c r="M983"/>
      <c r="N983"/>
      <c r="O983"/>
      <c r="P983"/>
      <c r="Q983"/>
      <c r="R983"/>
      <c r="S983"/>
      <c r="T983"/>
      <c r="U983"/>
    </row>
    <row r="984" spans="12:21" x14ac:dyDescent="0.25">
      <c r="L984"/>
      <c r="M984"/>
      <c r="N984"/>
      <c r="O984"/>
      <c r="P984"/>
      <c r="Q984"/>
      <c r="R984"/>
      <c r="S984"/>
      <c r="T984"/>
      <c r="U984"/>
    </row>
    <row r="985" spans="12:21" x14ac:dyDescent="0.25">
      <c r="L985"/>
      <c r="M985"/>
      <c r="N985"/>
      <c r="O985"/>
      <c r="P985"/>
      <c r="Q985"/>
      <c r="R985"/>
      <c r="S985"/>
      <c r="T985"/>
      <c r="U985"/>
    </row>
    <row r="986" spans="12:21" x14ac:dyDescent="0.25">
      <c r="L986"/>
      <c r="M986"/>
      <c r="N986"/>
      <c r="O986"/>
      <c r="P986"/>
      <c r="Q986"/>
      <c r="R986"/>
      <c r="S986"/>
      <c r="T986"/>
      <c r="U986"/>
    </row>
    <row r="987" spans="12:21" x14ac:dyDescent="0.25">
      <c r="L987"/>
      <c r="M987"/>
      <c r="N987"/>
      <c r="O987"/>
      <c r="P987"/>
      <c r="Q987"/>
      <c r="R987"/>
      <c r="S987"/>
      <c r="T987"/>
      <c r="U987"/>
    </row>
    <row r="988" spans="12:21" x14ac:dyDescent="0.25">
      <c r="L988"/>
      <c r="M988"/>
      <c r="N988"/>
      <c r="O988"/>
      <c r="P988"/>
      <c r="Q988"/>
      <c r="R988"/>
      <c r="S988"/>
      <c r="T988"/>
      <c r="U988"/>
    </row>
    <row r="989" spans="12:21" x14ac:dyDescent="0.25">
      <c r="L989"/>
      <c r="M989"/>
      <c r="N989"/>
      <c r="O989"/>
      <c r="P989"/>
      <c r="Q989"/>
      <c r="R989"/>
      <c r="S989"/>
      <c r="T989"/>
      <c r="U989"/>
    </row>
    <row r="990" spans="12:21" x14ac:dyDescent="0.25">
      <c r="L990"/>
      <c r="M990"/>
      <c r="N990"/>
      <c r="O990"/>
      <c r="P990"/>
      <c r="Q990"/>
      <c r="R990"/>
      <c r="S990"/>
      <c r="T990"/>
      <c r="U990"/>
    </row>
    <row r="991" spans="12:21" x14ac:dyDescent="0.25">
      <c r="L991"/>
      <c r="M991"/>
      <c r="N991"/>
      <c r="O991"/>
      <c r="P991"/>
      <c r="Q991"/>
      <c r="R991"/>
      <c r="S991"/>
      <c r="T991"/>
      <c r="U991"/>
    </row>
    <row r="992" spans="12:21" x14ac:dyDescent="0.25">
      <c r="L992"/>
      <c r="M992"/>
      <c r="N992"/>
      <c r="O992"/>
      <c r="P992"/>
      <c r="Q992"/>
      <c r="R992"/>
      <c r="S992"/>
      <c r="T992"/>
      <c r="U992"/>
    </row>
    <row r="993" spans="12:21" x14ac:dyDescent="0.25">
      <c r="L993"/>
      <c r="M993"/>
      <c r="N993"/>
      <c r="O993"/>
      <c r="P993"/>
      <c r="Q993"/>
      <c r="R993"/>
      <c r="S993"/>
      <c r="T993"/>
      <c r="U993"/>
    </row>
    <row r="994" spans="12:21" x14ac:dyDescent="0.25">
      <c r="L994"/>
      <c r="M994"/>
      <c r="N994"/>
      <c r="O994"/>
      <c r="P994"/>
      <c r="Q994"/>
      <c r="R994"/>
      <c r="S994"/>
      <c r="T994"/>
      <c r="U994"/>
    </row>
    <row r="995" spans="12:21" x14ac:dyDescent="0.25">
      <c r="L995"/>
      <c r="M995"/>
      <c r="N995"/>
      <c r="O995"/>
      <c r="P995"/>
      <c r="Q995"/>
      <c r="R995"/>
      <c r="S995"/>
      <c r="T995"/>
      <c r="U995"/>
    </row>
    <row r="996" spans="12:21" x14ac:dyDescent="0.25">
      <c r="L996"/>
      <c r="M996"/>
      <c r="N996"/>
      <c r="O996"/>
      <c r="P996"/>
      <c r="Q996"/>
      <c r="R996"/>
      <c r="S996"/>
      <c r="T996"/>
      <c r="U996"/>
    </row>
    <row r="997" spans="12:21" x14ac:dyDescent="0.25">
      <c r="L997"/>
      <c r="M997"/>
      <c r="N997"/>
      <c r="O997"/>
      <c r="P997"/>
      <c r="Q997"/>
      <c r="R997"/>
      <c r="S997"/>
      <c r="T997"/>
      <c r="U997"/>
    </row>
    <row r="998" spans="12:21" x14ac:dyDescent="0.25">
      <c r="L998"/>
      <c r="M998"/>
      <c r="N998"/>
      <c r="O998"/>
      <c r="P998"/>
      <c r="Q998"/>
      <c r="R998"/>
      <c r="S998"/>
      <c r="T998"/>
      <c r="U998"/>
    </row>
    <row r="999" spans="12:21" x14ac:dyDescent="0.25">
      <c r="L999"/>
      <c r="M999"/>
      <c r="N999"/>
      <c r="O999"/>
      <c r="P999"/>
      <c r="Q999"/>
      <c r="R999"/>
      <c r="S999"/>
      <c r="T999"/>
      <c r="U999"/>
    </row>
    <row r="1000" spans="12:21" x14ac:dyDescent="0.25">
      <c r="L1000"/>
      <c r="M1000"/>
      <c r="N1000"/>
      <c r="O1000"/>
      <c r="P1000"/>
      <c r="Q1000"/>
      <c r="R1000"/>
      <c r="S1000"/>
      <c r="T1000"/>
      <c r="U1000"/>
    </row>
    <row r="1001" spans="12:21" x14ac:dyDescent="0.25">
      <c r="L1001"/>
      <c r="M1001"/>
      <c r="N1001"/>
      <c r="O1001"/>
      <c r="P1001"/>
      <c r="Q1001"/>
      <c r="R1001"/>
      <c r="S1001"/>
      <c r="T1001"/>
      <c r="U1001"/>
    </row>
    <row r="1002" spans="12:21" x14ac:dyDescent="0.25">
      <c r="L1002"/>
      <c r="M1002"/>
      <c r="N1002"/>
      <c r="O1002"/>
      <c r="P1002"/>
      <c r="Q1002"/>
      <c r="R1002"/>
      <c r="S1002"/>
      <c r="T1002"/>
      <c r="U1002"/>
    </row>
    <row r="1003" spans="12:21" x14ac:dyDescent="0.25">
      <c r="L1003"/>
      <c r="M1003"/>
      <c r="N1003"/>
      <c r="O1003"/>
      <c r="P1003"/>
      <c r="Q1003"/>
      <c r="R1003"/>
      <c r="S1003"/>
      <c r="T1003"/>
      <c r="U1003"/>
    </row>
    <row r="1004" spans="12:21" x14ac:dyDescent="0.25">
      <c r="L1004"/>
      <c r="M1004"/>
      <c r="N1004"/>
      <c r="O1004"/>
      <c r="P1004"/>
      <c r="Q1004"/>
      <c r="R1004"/>
      <c r="S1004"/>
      <c r="T1004"/>
      <c r="U1004"/>
    </row>
    <row r="1005" spans="12:21" x14ac:dyDescent="0.25">
      <c r="L1005"/>
      <c r="M1005"/>
      <c r="N1005"/>
      <c r="O1005"/>
      <c r="P1005"/>
      <c r="Q1005"/>
      <c r="R1005"/>
      <c r="S1005"/>
      <c r="T1005"/>
      <c r="U1005"/>
    </row>
    <row r="1006" spans="12:21" x14ac:dyDescent="0.25">
      <c r="L1006"/>
      <c r="M1006"/>
      <c r="N1006"/>
      <c r="O1006"/>
      <c r="P1006"/>
      <c r="Q1006"/>
      <c r="R1006"/>
      <c r="S1006"/>
      <c r="T1006"/>
      <c r="U1006"/>
    </row>
    <row r="1007" spans="12:21" x14ac:dyDescent="0.25">
      <c r="L1007"/>
      <c r="M1007"/>
      <c r="N1007"/>
      <c r="O1007"/>
      <c r="P1007"/>
      <c r="Q1007"/>
      <c r="R1007"/>
      <c r="S1007"/>
      <c r="T1007"/>
      <c r="U1007"/>
    </row>
    <row r="1008" spans="12:21" x14ac:dyDescent="0.25">
      <c r="L1008"/>
      <c r="M1008"/>
      <c r="N1008"/>
      <c r="O1008"/>
      <c r="P1008"/>
      <c r="Q1008"/>
      <c r="R1008"/>
      <c r="S1008"/>
      <c r="T1008"/>
      <c r="U1008"/>
    </row>
    <row r="1009" spans="12:21" x14ac:dyDescent="0.25">
      <c r="L1009"/>
      <c r="M1009"/>
      <c r="N1009"/>
      <c r="O1009"/>
      <c r="P1009"/>
      <c r="Q1009"/>
      <c r="R1009"/>
      <c r="S1009"/>
      <c r="T1009"/>
      <c r="U1009"/>
    </row>
    <row r="1010" spans="12:21" x14ac:dyDescent="0.25">
      <c r="L1010"/>
      <c r="M1010"/>
      <c r="N1010"/>
      <c r="O1010"/>
      <c r="P1010"/>
      <c r="Q1010"/>
      <c r="R1010"/>
      <c r="S1010"/>
      <c r="T1010"/>
      <c r="U1010"/>
    </row>
    <row r="1011" spans="12:21" x14ac:dyDescent="0.25">
      <c r="L1011"/>
      <c r="M1011"/>
      <c r="N1011"/>
      <c r="O1011"/>
      <c r="P1011"/>
      <c r="Q1011"/>
      <c r="R1011"/>
      <c r="S1011"/>
      <c r="T1011"/>
      <c r="U1011"/>
    </row>
    <row r="1012" spans="12:21" x14ac:dyDescent="0.25">
      <c r="L1012"/>
      <c r="M1012"/>
      <c r="N1012"/>
      <c r="O1012"/>
      <c r="P1012"/>
      <c r="Q1012"/>
      <c r="R1012"/>
      <c r="S1012"/>
      <c r="T1012"/>
      <c r="U1012"/>
    </row>
    <row r="1013" spans="12:21" x14ac:dyDescent="0.25">
      <c r="L1013"/>
      <c r="M1013"/>
      <c r="N1013"/>
      <c r="O1013"/>
      <c r="P1013"/>
      <c r="Q1013"/>
      <c r="R1013"/>
      <c r="S1013"/>
      <c r="T1013"/>
      <c r="U1013"/>
    </row>
    <row r="1014" spans="12:21" x14ac:dyDescent="0.25">
      <c r="L1014"/>
      <c r="M1014"/>
      <c r="N1014"/>
      <c r="O1014"/>
      <c r="P1014"/>
      <c r="Q1014"/>
      <c r="R1014"/>
      <c r="S1014"/>
      <c r="T1014"/>
      <c r="U1014"/>
    </row>
    <row r="1015" spans="12:21" x14ac:dyDescent="0.25">
      <c r="L1015"/>
      <c r="M1015"/>
      <c r="N1015"/>
      <c r="O1015"/>
      <c r="P1015"/>
      <c r="Q1015"/>
      <c r="R1015"/>
      <c r="S1015"/>
      <c r="T1015"/>
      <c r="U1015"/>
    </row>
    <row r="1016" spans="12:21" x14ac:dyDescent="0.25">
      <c r="L1016"/>
      <c r="M1016"/>
      <c r="N1016"/>
      <c r="O1016"/>
      <c r="P1016"/>
      <c r="Q1016"/>
      <c r="R1016"/>
      <c r="S1016"/>
      <c r="T1016"/>
      <c r="U1016"/>
    </row>
    <row r="1017" spans="12:21" x14ac:dyDescent="0.25">
      <c r="L1017"/>
      <c r="M1017"/>
      <c r="N1017"/>
      <c r="O1017"/>
      <c r="P1017"/>
      <c r="Q1017"/>
      <c r="R1017"/>
      <c r="S1017"/>
      <c r="T1017"/>
      <c r="U1017"/>
    </row>
    <row r="1018" spans="12:21" x14ac:dyDescent="0.25">
      <c r="L1018"/>
      <c r="M1018"/>
      <c r="N1018"/>
      <c r="O1018"/>
      <c r="P1018"/>
      <c r="Q1018"/>
      <c r="R1018"/>
      <c r="S1018"/>
      <c r="T1018"/>
      <c r="U1018"/>
    </row>
    <row r="1019" spans="12:21" x14ac:dyDescent="0.25">
      <c r="L1019"/>
      <c r="M1019"/>
      <c r="N1019"/>
      <c r="O1019"/>
      <c r="P1019"/>
      <c r="Q1019"/>
      <c r="R1019"/>
      <c r="S1019"/>
      <c r="T1019"/>
      <c r="U1019"/>
    </row>
    <row r="1020" spans="12:21" x14ac:dyDescent="0.25">
      <c r="L1020"/>
      <c r="M1020"/>
      <c r="N1020"/>
      <c r="O1020"/>
      <c r="P1020"/>
      <c r="Q1020"/>
      <c r="R1020"/>
      <c r="S1020"/>
      <c r="T1020"/>
      <c r="U1020"/>
    </row>
    <row r="1021" spans="12:21" x14ac:dyDescent="0.25">
      <c r="L1021"/>
      <c r="M1021"/>
      <c r="N1021"/>
      <c r="O1021"/>
      <c r="P1021"/>
      <c r="Q1021"/>
      <c r="R1021"/>
      <c r="S1021"/>
      <c r="T1021"/>
      <c r="U1021"/>
    </row>
    <row r="1022" spans="12:21" x14ac:dyDescent="0.25">
      <c r="L1022"/>
      <c r="M1022"/>
      <c r="N1022"/>
      <c r="O1022"/>
      <c r="P1022"/>
      <c r="Q1022"/>
      <c r="R1022"/>
      <c r="S1022"/>
      <c r="T1022"/>
      <c r="U1022"/>
    </row>
    <row r="1023" spans="12:21" x14ac:dyDescent="0.25">
      <c r="L1023"/>
      <c r="M1023"/>
      <c r="N1023"/>
      <c r="O1023"/>
      <c r="P1023"/>
      <c r="Q1023"/>
      <c r="R1023"/>
      <c r="S1023"/>
      <c r="T1023"/>
      <c r="U1023"/>
    </row>
    <row r="1024" spans="12:21" x14ac:dyDescent="0.25">
      <c r="L1024"/>
      <c r="M1024"/>
      <c r="N1024"/>
      <c r="O1024"/>
      <c r="P1024"/>
      <c r="Q1024"/>
      <c r="R1024"/>
      <c r="S1024"/>
      <c r="T1024"/>
      <c r="U10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Portada</vt:lpstr>
      <vt:lpstr>Datos</vt:lpstr>
      <vt:lpstr>Subyacente</vt:lpstr>
      <vt:lpstr>Derivado</vt:lpstr>
      <vt:lpstr>Alpha</vt:lpstr>
      <vt:lpstr>Beta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</dc:creator>
  <cp:lastModifiedBy>Luis Alberto</cp:lastModifiedBy>
  <dcterms:created xsi:type="dcterms:W3CDTF">2022-10-07T14:52:47Z</dcterms:created>
  <dcterms:modified xsi:type="dcterms:W3CDTF">2022-12-07T16:44:06Z</dcterms:modified>
</cp:coreProperties>
</file>